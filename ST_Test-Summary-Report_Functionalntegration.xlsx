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19"/>
  <workbookPr filterPrivacy="1"/>
  <xr:revisionPtr revIDLastSave="386" documentId="13_ncr:1_{B9D917CB-293B-4D72-8E96-2D5F6FCFE1C3}" xr6:coauthVersionLast="47" xr6:coauthVersionMax="47" xr10:uidLastSave="{2A1B57B1-B760-4A1F-8CC9-B40D91A35F53}"/>
  <bookViews>
    <workbookView minimized="1" xWindow="12585" yWindow="4200" windowWidth="8250" windowHeight="7065" firstSheet="3" activeTab="4" xr2:uid="{00000000-000D-0000-FFFF-FFFF00000000}"/>
  </bookViews>
  <sheets>
    <sheet name="Cover Page" sheetId="9" r:id="rId1"/>
    <sheet name="0. Project Information" sheetId="23" r:id="rId2"/>
    <sheet name="1. Summary Report" sheetId="21" r:id="rId3"/>
    <sheet name="2. Defects Report" sheetId="19" r:id="rId4"/>
    <sheet name="Data Range" sheetId="2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21" l="1"/>
  <c r="M22" i="21"/>
  <c r="M23" i="21"/>
  <c r="M24" i="21"/>
  <c r="M25" i="21"/>
  <c r="M26" i="21"/>
  <c r="M27" i="21"/>
  <c r="M28" i="21"/>
  <c r="M29" i="21"/>
  <c r="M30" i="21"/>
  <c r="M21" i="21"/>
  <c r="I22" i="21"/>
  <c r="I23" i="21"/>
  <c r="I24" i="21"/>
  <c r="I25" i="21"/>
  <c r="I26" i="21"/>
  <c r="I27" i="21"/>
  <c r="I28" i="21"/>
  <c r="I29" i="21"/>
  <c r="I30" i="21"/>
  <c r="I21" i="21"/>
  <c r="G16" i="21"/>
  <c r="C14" i="21"/>
  <c r="C13" i="21" l="1"/>
  <c r="G11" i="21"/>
  <c r="G12" i="21"/>
  <c r="C9"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8" authorId="0" shapeId="0" xr:uid="{65ACCD81-4D8E-40A0-A83F-361603DB0554}">
      <text>
        <r>
          <rPr>
            <b/>
            <sz val="10"/>
            <color indexed="81"/>
            <rFont val="Tahoma"/>
            <family val="2"/>
          </rPr>
          <t>Author:</t>
        </r>
        <r>
          <rPr>
            <sz val="10"/>
            <color indexed="81"/>
            <rFont val="Tahoma"/>
            <family val="2"/>
          </rPr>
          <t xml:space="preserve">
Liệt kê các chức năng hoặc chủ đề cần thực thi kiểm thử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890BB7AB-D136-4732-A87F-F76062F044CD}">
      <text>
        <r>
          <rPr>
            <b/>
            <sz val="10"/>
            <color indexed="81"/>
            <rFont val="Tahoma"/>
            <family val="2"/>
          </rPr>
          <t>Author:</t>
        </r>
        <r>
          <rPr>
            <sz val="10"/>
            <color indexed="81"/>
            <rFont val="Tahoma"/>
            <family val="2"/>
          </rPr>
          <t xml:space="preserve">
Liệt kê các chức năng hoặc chủ đề cần thực thi kiểm thử</t>
        </r>
      </text>
    </comment>
    <comment ref="F4" authorId="0" shapeId="0" xr:uid="{CD904738-E511-4AFB-A310-C21702E8526F}">
      <text>
        <r>
          <rPr>
            <b/>
            <sz val="10"/>
            <color indexed="81"/>
            <rFont val="Tahoma"/>
            <family val="2"/>
          </rPr>
          <t>Author:</t>
        </r>
        <r>
          <rPr>
            <sz val="10"/>
            <color indexed="81"/>
            <rFont val="Tahoma"/>
            <family val="2"/>
          </rPr>
          <t xml:space="preserve">
Mô tả các bước thực hiện dẫn đến lỗi xuất hiện.</t>
        </r>
      </text>
    </comment>
    <comment ref="G4" authorId="0" shapeId="0" xr:uid="{96BCE50E-EECC-4594-8A0A-F2B38044D17C}">
      <text>
        <r>
          <rPr>
            <b/>
            <sz val="10"/>
            <color indexed="81"/>
            <rFont val="Tahoma"/>
            <family val="2"/>
          </rPr>
          <t>Author:</t>
        </r>
        <r>
          <rPr>
            <sz val="10"/>
            <color indexed="81"/>
            <rFont val="Tahoma"/>
            <family val="2"/>
          </rPr>
          <t xml:space="preserve">
Hình ảnh minh chứng cho lỗi tìm thấy</t>
        </r>
      </text>
    </comment>
    <comment ref="I4" authorId="0" shapeId="0" xr:uid="{0B03B897-600E-4761-9335-4134363E327D}">
      <text>
        <r>
          <rPr>
            <b/>
            <sz val="10"/>
            <color indexed="81"/>
            <rFont val="Tahoma"/>
            <family val="2"/>
          </rPr>
          <t>Author:</t>
        </r>
        <r>
          <rPr>
            <sz val="10"/>
            <color indexed="81"/>
            <rFont val="Tahoma"/>
            <family val="2"/>
          </rPr>
          <t xml:space="preserve">
Kết quả mong đợi trả về từ phần mềm cho bước đã mô tả ở cột Step to Reproduce</t>
        </r>
      </text>
    </comment>
    <comment ref="J4" authorId="0" shapeId="0" xr:uid="{F6E1891C-21C9-45F1-95B7-F2CAFFFF7A2B}">
      <text>
        <r>
          <rPr>
            <b/>
            <sz val="10"/>
            <color indexed="81"/>
            <rFont val="Tahoma"/>
            <family val="2"/>
          </rPr>
          <t>Author:</t>
        </r>
        <r>
          <rPr>
            <sz val="10"/>
            <color indexed="81"/>
            <rFont val="Tahoma"/>
            <family val="2"/>
          </rPr>
          <t xml:space="preserve">
Kết quả thực tế quan sát được từ phần mềm tại bước thực hiện đã mô tả ở cột Step to Reproduce</t>
        </r>
      </text>
    </comment>
    <comment ref="K4" authorId="0" shapeId="0" xr:uid="{B7783831-5D12-49FD-B7E4-3667D258B74E}">
      <text>
        <r>
          <rPr>
            <b/>
            <sz val="10"/>
            <color indexed="81"/>
            <rFont val="Tahoma"/>
            <family val="2"/>
          </rPr>
          <t>Author:</t>
        </r>
        <r>
          <rPr>
            <sz val="10"/>
            <color indexed="81"/>
            <rFont val="Tahoma"/>
            <family val="2"/>
          </rPr>
          <t xml:space="preserve">
Thứ tự ưu tiên sửa lỗi</t>
        </r>
      </text>
    </comment>
    <comment ref="L4" authorId="0" shapeId="0" xr:uid="{AC9953CB-62F1-4EB8-90E6-DD540407020F}">
      <text>
        <r>
          <rPr>
            <b/>
            <sz val="10"/>
            <color indexed="81"/>
            <rFont val="Tahoma"/>
            <family val="2"/>
          </rPr>
          <t>Author:</t>
        </r>
        <r>
          <rPr>
            <sz val="10"/>
            <color indexed="81"/>
            <rFont val="Tahoma"/>
            <family val="2"/>
          </rPr>
          <t xml:space="preserve">
Mức độ ảnh hưởng của lỗi đối với phần mềm</t>
        </r>
      </text>
    </comment>
    <comment ref="N4" authorId="0" shapeId="0" xr:uid="{14E96E41-A344-4FDA-9E2D-08E2DB476B82}">
      <text>
        <r>
          <rPr>
            <b/>
            <sz val="10"/>
            <color indexed="81"/>
            <rFont val="Tahoma"/>
            <family val="2"/>
          </rPr>
          <t>Author:</t>
        </r>
        <r>
          <rPr>
            <sz val="10"/>
            <color indexed="81"/>
            <rFont val="Tahoma"/>
            <family val="2"/>
          </rPr>
          <t xml:space="preserve">
Họ tên của người đã tìm ra lỗi</t>
        </r>
      </text>
    </comment>
    <comment ref="O4" authorId="0" shapeId="0" xr:uid="{2D160DD9-C880-476A-B39F-08686F9C2187}">
      <text>
        <r>
          <rPr>
            <b/>
            <sz val="10"/>
            <color indexed="81"/>
            <rFont val="Tahoma"/>
            <family val="2"/>
          </rPr>
          <t>Author:</t>
        </r>
        <r>
          <rPr>
            <sz val="10"/>
            <color indexed="81"/>
            <rFont val="Tahoma"/>
            <family val="2"/>
          </rPr>
          <t xml:space="preserve">
Ngày phát hiện ra lỗi</t>
        </r>
      </text>
    </comment>
    <comment ref="P4" authorId="0" shapeId="0" xr:uid="{43E8B467-DE00-41D2-8AAE-764B918A0DCE}">
      <text>
        <r>
          <rPr>
            <b/>
            <sz val="10"/>
            <color indexed="81"/>
            <rFont val="Tahoma"/>
            <family val="2"/>
          </rPr>
          <t>Author:</t>
        </r>
        <r>
          <rPr>
            <sz val="10"/>
            <color indexed="81"/>
            <rFont val="Tahoma"/>
            <family val="2"/>
          </rPr>
          <t xml:space="preserve">
Phiên bản của phần mềm dùng để chạy kiểm thử</t>
        </r>
      </text>
    </comment>
  </commentList>
</comments>
</file>

<file path=xl/sharedStrings.xml><?xml version="1.0" encoding="utf-8"?>
<sst xmlns="http://schemas.openxmlformats.org/spreadsheetml/2006/main" count="164" uniqueCount="106">
  <si>
    <t>Practical Software Engineering Series</t>
  </si>
  <si>
    <t>TEST SUMMARY REPORT</t>
  </si>
  <si>
    <t>Version : 0.1</t>
  </si>
  <si>
    <t>Document Control information</t>
  </si>
  <si>
    <t>Faculty</t>
  </si>
  <si>
    <t>Faculty of Information Technology</t>
  </si>
  <si>
    <t>Issue Date:</t>
  </si>
  <si>
    <t>Author:</t>
  </si>
  <si>
    <t>Confidential Class:</t>
  </si>
  <si>
    <t>Document Revision History</t>
  </si>
  <si>
    <t>Date</t>
  </si>
  <si>
    <t>Version</t>
  </si>
  <si>
    <t>Description</t>
  </si>
  <si>
    <t>Revised by</t>
  </si>
  <si>
    <t>Project Information</t>
  </si>
  <si>
    <t>Project Name</t>
  </si>
  <si>
    <t>Website Phân công giảng dạy VLU</t>
  </si>
  <si>
    <t>Quản Lí Phân Công Giảng Dạy</t>
  </si>
  <si>
    <t>Issue Date</t>
  </si>
  <si>
    <t>25/7/2023</t>
  </si>
  <si>
    <t>Author</t>
  </si>
  <si>
    <t>Lê Hoài Phương</t>
  </si>
  <si>
    <t>Reviewer Information</t>
  </si>
  <si>
    <t>Name</t>
  </si>
  <si>
    <t>Department</t>
  </si>
  <si>
    <t>Position</t>
  </si>
  <si>
    <t>Approver Information</t>
  </si>
  <si>
    <t>OVERALL INFORMATION</t>
  </si>
  <si>
    <t>Test Purpose</t>
  </si>
  <si>
    <t>Tìm ra lỗi của trang Web</t>
  </si>
  <si>
    <t>Number of testers</t>
  </si>
  <si>
    <t>OVERALL STATUS</t>
  </si>
  <si>
    <t>Total Number of Test Cases</t>
  </si>
  <si>
    <t>Executed</t>
  </si>
  <si>
    <t>Passed</t>
  </si>
  <si>
    <t>Failed</t>
  </si>
  <si>
    <t>Total Tests Executed 
(Passed + Failed)</t>
  </si>
  <si>
    <t>Not Executed</t>
  </si>
  <si>
    <t>Blocked</t>
  </si>
  <si>
    <t>Number of Defects</t>
  </si>
  <si>
    <t>Critical</t>
  </si>
  <si>
    <t>High</t>
  </si>
  <si>
    <t>Medium</t>
  </si>
  <si>
    <t>Total Defects
(Critical + High + Medium)</t>
  </si>
  <si>
    <t>Test Subject</t>
  </si>
  <si>
    <t>Priority</t>
  </si>
  <si>
    <t>Total Test Cases</t>
  </si>
  <si>
    <t>Test Runs</t>
  </si>
  <si>
    <t>Defects</t>
  </si>
  <si>
    <t>Comments</t>
  </si>
  <si>
    <t>Status</t>
  </si>
  <si>
    <t>Fail Rate</t>
  </si>
  <si>
    <t>Total Defects</t>
  </si>
  <si>
    <t>Line of code
(LOC)</t>
  </si>
  <si>
    <t>Defects fixed</t>
  </si>
  <si>
    <t>Fixed Rate</t>
  </si>
  <si>
    <t>Import TKB</t>
  </si>
  <si>
    <t>Phân công</t>
  </si>
  <si>
    <t>Xem TKB</t>
  </si>
  <si>
    <t>Low</t>
  </si>
  <si>
    <t>Import TKB
Phân công</t>
  </si>
  <si>
    <t>Phân công
Xem TKB</t>
  </si>
  <si>
    <t>Phân Công
Số giờ giảng viên</t>
  </si>
  <si>
    <t>Phân công
Số giờ quy đổi</t>
  </si>
  <si>
    <t>Phân công 
Số giờ cá nhân</t>
  </si>
  <si>
    <t>Phân công 
lịch giảng dạy</t>
  </si>
  <si>
    <t>Import TKB
Môn học</t>
  </si>
  <si>
    <t>DEFECTS REPORT</t>
  </si>
  <si>
    <t>No.</t>
  </si>
  <si>
    <t>Defect ID</t>
  </si>
  <si>
    <t>Title</t>
  </si>
  <si>
    <t>Steps to Reproduce</t>
  </si>
  <si>
    <t>Evidences</t>
  </si>
  <si>
    <t>Expected Result</t>
  </si>
  <si>
    <t>Actual Result</t>
  </si>
  <si>
    <t>Severity</t>
  </si>
  <si>
    <t>Raised By</t>
  </si>
  <si>
    <t>Raised Date</t>
  </si>
  <si>
    <t>Tested on build version</t>
  </si>
  <si>
    <t xml:space="preserve">DF_01
</t>
  </si>
  <si>
    <t>Khi kéo thả hoặc chọn file sai định dạng thì file đó sẽ luôn xuất hiện và không biến mất, chỉ khi nào kéo thả hoặc chọn đúng định dạng file thì những file sai định dạng mới biến mất</t>
  </si>
  <si>
    <t>Vào chức năng Import TKB
Chọn học kỳ 
Chọn nghành 
Kéo 1 file TKB đúng định dạng và 1 file sai định dạng</t>
  </si>
  <si>
    <t>Khi kéo thả hoặc chọn file nếu chọn file tiếp theo thì file trước đó sẽ biến mất</t>
  </si>
  <si>
    <t>Hệ thống hiện thị file sai định dạng không biến mất cho đến khi bỏ hoặc kéo file đúng định dạng vào thay</t>
  </si>
  <si>
    <t>New</t>
  </si>
  <si>
    <t xml:space="preserve">DF_02
</t>
  </si>
  <si>
    <t xml:space="preserve">Khi import file nếu bạn đã gắn sai file thì hệ thông sẽ báo lỗi và trên file sẽ hiện dấu " X " nhưng khi click vào để xoá file đó để đổi thì không xoá được </t>
  </si>
  <si>
    <t>Vào chức năng Import TKB
Chọn học kỳ 
Chọn nghành 
Chọn file TKB đúng định dạng và file sai định dạng
Nhấn dấu X</t>
  </si>
  <si>
    <t>Khi gắn file sai định dạng thì hệ thống báo lỗi và trên file hiện thị dấu x và bấm vào để xóa</t>
  </si>
  <si>
    <t>Hiện thị dấu x nhưng khi bấm vào thì file vẫn còn và không biến mất</t>
  </si>
  <si>
    <t xml:space="preserve">DF_03
</t>
  </si>
  <si>
    <t xml:space="preserve">Trong vùng import file có nhiều hơn 1 file thì vẫn import được và trong đó có file không đúng định dạng
</t>
  </si>
  <si>
    <t>Vào chức năng Import TKB
Chọn học kỳ 
Chọn nghành 
Kéo 1 file TKB đúng định dạng và 1 file sai định dạng(pdf)
Nhấn import</t>
  </si>
  <si>
    <t>Khi trong vùng import có nhiều hơn 1 file và tất cả đún định dạng mới import được nếu có 1 file sai định dạng thì hệ thống sẽ không import được</t>
  </si>
  <si>
    <t>Trong vùng import file có nhiều hơn 1 file thì vẫn import mặc dù trong đó có file sai định dạng nhưng hệ thống vẫn chạy</t>
  </si>
  <si>
    <t xml:space="preserve">Phân công </t>
  </si>
  <si>
    <t>DF_04</t>
  </si>
  <si>
    <t xml:space="preserve">Khi phân công người dùng , lúc ấn vào " Chưa phân " thì sẽ hiện popover để người dùng chỉ định giảng viên, nhưng bảng popover xuất hiện ngẫu nhiên và không xác định
</t>
  </si>
  <si>
    <t>Vào chức năng Phân công
Chọn học kỳ
Chọn ngành
Chọn lớp chưa phân</t>
  </si>
  <si>
    <t>Khi phân công người dùng , lúc ấn vào " Chưa phân " thì sẽ hiện popover cố định ở giữa màn hình nười dùng chỉ định giảng viên</t>
  </si>
  <si>
    <t>Khi phân công người dùng khi ấn vào " chưa phân " sẽ hiện bảng popover xuất hiện ngẫu nhiên</t>
  </si>
  <si>
    <t>Overall Progress</t>
  </si>
  <si>
    <t>Test Run Status</t>
  </si>
  <si>
    <t>On time</t>
  </si>
  <si>
    <t>Delayed</t>
  </si>
  <si>
    <t>Stopped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</si>
</sst>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sz val="10"/>
      <name val="Arial"/>
      <family val="2"/>
    </font>
    <font>
      <b/>
      <sz val="12"/>
      <color indexed="12"/>
      <name val="Arial"/>
      <family val="2"/>
    </font>
    <font>
      <b/>
      <sz val="18"/>
      <color indexed="18"/>
      <name val="Arial"/>
      <family val="2"/>
    </font>
    <font>
      <sz val="12"/>
      <name val="Times New Roman"/>
      <family val="1"/>
    </font>
    <font>
      <b/>
      <sz val="10"/>
      <name val="Arial"/>
      <family val="2"/>
    </font>
    <font>
      <b/>
      <sz val="11"/>
      <name val="Arial"/>
      <family val="2"/>
    </font>
    <font>
      <sz val="11"/>
      <color theme="1"/>
      <name val="Arial"/>
      <family val="2"/>
    </font>
    <font>
      <sz val="10"/>
      <color theme="1"/>
      <name val="Arial"/>
      <family val="2"/>
    </font>
    <font>
      <b/>
      <sz val="10"/>
      <color theme="1"/>
      <name val="Arial"/>
      <family val="2"/>
    </font>
    <font>
      <i/>
      <sz val="10"/>
      <color theme="1"/>
      <name val="Arial"/>
      <family val="2"/>
    </font>
    <font>
      <b/>
      <sz val="10"/>
      <color rgb="FFFF0000"/>
      <name val="Arial"/>
      <family val="2"/>
    </font>
    <font>
      <b/>
      <sz val="18"/>
      <color rgb="FF000080"/>
      <name val="Arial"/>
      <family val="2"/>
    </font>
    <font>
      <i/>
      <sz val="10"/>
      <color rgb="FFFF0000"/>
      <name val="Arial"/>
      <family val="2"/>
    </font>
    <font>
      <b/>
      <sz val="10"/>
      <color rgb="FFC00000"/>
      <name val="Arial"/>
      <family val="2"/>
    </font>
    <font>
      <i/>
      <sz val="10"/>
      <color indexed="12"/>
      <name val="Arial"/>
      <family val="2"/>
    </font>
    <font>
      <b/>
      <sz val="11"/>
      <color theme="1"/>
      <name val="Calibri"/>
      <family val="2"/>
      <scheme val="minor"/>
    </font>
    <font>
      <b/>
      <sz val="10"/>
      <color indexed="81"/>
      <name val="Tahoma"/>
      <family val="2"/>
    </font>
    <font>
      <sz val="10"/>
      <color indexed="81"/>
      <name val="Tahoma"/>
      <family val="2"/>
    </font>
    <font>
      <sz val="10"/>
      <color rgb="FF000000"/>
      <name val="Arial"/>
    </font>
    <font>
      <sz val="11"/>
      <color rgb="FF000000"/>
      <name val="Arial"/>
      <charset val="134"/>
    </font>
    <font>
      <sz val="10"/>
      <color theme="1"/>
      <name val="Arial"/>
    </font>
    <font>
      <sz val="11"/>
      <color theme="1"/>
      <name val="Arial"/>
    </font>
    <font>
      <sz val="10"/>
      <color rgb="FF000000"/>
      <name val="Arial"/>
      <charset val="1"/>
    </font>
  </fonts>
  <fills count="9">
    <fill>
      <patternFill patternType="none"/>
    </fill>
    <fill>
      <patternFill patternType="gray125"/>
    </fill>
    <fill>
      <patternFill patternType="solid">
        <fgColor indexed="27"/>
        <bgColor indexed="41"/>
      </patternFill>
    </fill>
    <fill>
      <patternFill patternType="solid">
        <fgColor indexed="42"/>
        <bgColor indexed="27"/>
      </patternFill>
    </fill>
    <fill>
      <patternFill patternType="solid">
        <fgColor rgb="FFCCFFCC"/>
        <bgColor indexed="64"/>
      </patternFill>
    </fill>
    <fill>
      <patternFill patternType="solid">
        <fgColor rgb="FFCCFFFF"/>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39997558519241921"/>
        <bgColor indexed="64"/>
      </patternFill>
    </fill>
  </fills>
  <borders count="54">
    <border>
      <left/>
      <right/>
      <top/>
      <bottom/>
      <diagonal/>
    </border>
    <border>
      <left/>
      <right/>
      <top/>
      <bottom style="medium">
        <color indexed="8"/>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style="medium">
        <color indexed="8"/>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
      <left/>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indexed="64"/>
      </bottom>
      <diagonal/>
    </border>
    <border>
      <left style="thin">
        <color auto="1"/>
      </left>
      <right style="thin">
        <color auto="1"/>
      </right>
      <top style="medium">
        <color auto="1"/>
      </top>
      <bottom style="medium">
        <color indexed="64"/>
      </bottom>
      <diagonal/>
    </border>
    <border>
      <left style="thin">
        <color auto="1"/>
      </left>
      <right/>
      <top style="medium">
        <color auto="1"/>
      </top>
      <bottom style="medium">
        <color indexed="64"/>
      </bottom>
      <diagonal/>
    </border>
    <border>
      <left style="thin">
        <color auto="1"/>
      </left>
      <right style="medium">
        <color auto="1"/>
      </right>
      <top style="medium">
        <color auto="1"/>
      </top>
      <bottom style="medium">
        <color indexed="64"/>
      </bottom>
      <diagonal/>
    </border>
    <border>
      <left style="medium">
        <color indexed="64"/>
      </left>
      <right style="thin">
        <color indexed="64"/>
      </right>
      <top style="medium">
        <color auto="1"/>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0" fontId="1" fillId="0" borderId="0"/>
    <xf numFmtId="0" fontId="1" fillId="0" borderId="0"/>
  </cellStyleXfs>
  <cellXfs count="150">
    <xf numFmtId="0" fontId="0" fillId="0" borderId="0" xfId="0"/>
    <xf numFmtId="0" fontId="4" fillId="0" borderId="0" xfId="2" applyFont="1" applyAlignment="1">
      <alignment vertical="center" wrapText="1"/>
    </xf>
    <xf numFmtId="0" fontId="5" fillId="0" borderId="0" xfId="2" applyFont="1" applyAlignment="1">
      <alignment vertical="center" wrapText="1"/>
    </xf>
    <xf numFmtId="0" fontId="1" fillId="0" borderId="0" xfId="2" applyAlignment="1">
      <alignment vertical="center"/>
    </xf>
    <xf numFmtId="0" fontId="1" fillId="0" borderId="1" xfId="2" applyBorder="1" applyAlignment="1">
      <alignment vertical="center"/>
    </xf>
    <xf numFmtId="0" fontId="6" fillId="0" borderId="0" xfId="2" applyFont="1" applyAlignment="1">
      <alignment horizontal="right" vertical="center"/>
    </xf>
    <xf numFmtId="0" fontId="5" fillId="0" borderId="0" xfId="2" applyFont="1" applyAlignment="1">
      <alignment horizontal="right" vertical="center"/>
    </xf>
    <xf numFmtId="0" fontId="8"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11" fillId="0" borderId="0" xfId="0" applyFont="1" applyAlignment="1">
      <alignment horizontal="right" vertical="center" wrapText="1"/>
    </xf>
    <xf numFmtId="0" fontId="9" fillId="0" borderId="0" xfId="0" applyFont="1" applyAlignment="1">
      <alignment horizontal="right" vertical="center" wrapText="1"/>
    </xf>
    <xf numFmtId="0" fontId="0" fillId="0" borderId="0" xfId="0" applyAlignment="1">
      <alignment vertical="center"/>
    </xf>
    <xf numFmtId="0" fontId="9" fillId="5" borderId="4" xfId="0" applyFont="1" applyFill="1" applyBorder="1" applyAlignment="1">
      <alignment horizontal="center" vertical="center" wrapText="1"/>
    </xf>
    <xf numFmtId="0" fontId="9" fillId="7" borderId="2" xfId="0" applyFont="1" applyFill="1" applyBorder="1" applyAlignment="1">
      <alignment vertical="center" wrapText="1"/>
    </xf>
    <xf numFmtId="0" fontId="16" fillId="0" borderId="0" xfId="0" applyFont="1" applyAlignment="1">
      <alignment vertical="center"/>
    </xf>
    <xf numFmtId="0" fontId="8" fillId="0" borderId="0" xfId="0" applyFont="1" applyAlignment="1">
      <alignment horizontal="center" vertical="center"/>
    </xf>
    <xf numFmtId="0" fontId="8" fillId="0" borderId="4" xfId="0" applyFont="1" applyBorder="1" applyAlignment="1">
      <alignment horizontal="center" vertical="center"/>
    </xf>
    <xf numFmtId="0" fontId="9" fillId="4" borderId="9" xfId="0" applyFont="1" applyFill="1" applyBorder="1" applyAlignment="1">
      <alignment horizontal="right" vertical="center"/>
    </xf>
    <xf numFmtId="0" fontId="10" fillId="0" borderId="10" xfId="0" applyFont="1" applyBorder="1" applyAlignment="1">
      <alignment vertical="center"/>
    </xf>
    <xf numFmtId="0" fontId="10" fillId="0" borderId="11" xfId="0" applyFont="1" applyBorder="1" applyAlignment="1">
      <alignment vertical="center"/>
    </xf>
    <xf numFmtId="0" fontId="9" fillId="8" borderId="9" xfId="0" applyFont="1" applyFill="1" applyBorder="1" applyAlignment="1">
      <alignment horizontal="right"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horizontal="center" vertical="center" wrapText="1"/>
    </xf>
    <xf numFmtId="0" fontId="8" fillId="0" borderId="8" xfId="0" applyFont="1" applyBorder="1" applyAlignment="1">
      <alignment horizontal="center" vertical="center"/>
    </xf>
    <xf numFmtId="0" fontId="19" fillId="0" borderId="4" xfId="0" applyFont="1" applyBorder="1" applyAlignment="1">
      <alignment horizontal="center" vertical="center" wrapText="1"/>
    </xf>
    <xf numFmtId="0" fontId="5" fillId="3" borderId="13" xfId="2" applyFont="1" applyFill="1" applyBorder="1" applyAlignment="1">
      <alignment vertical="center" wrapText="1"/>
    </xf>
    <xf numFmtId="0" fontId="5" fillId="3" borderId="15" xfId="2" applyFont="1" applyFill="1" applyBorder="1" applyAlignment="1">
      <alignment vertical="center" wrapText="1"/>
    </xf>
    <xf numFmtId="0" fontId="5" fillId="3" borderId="13" xfId="2" applyFont="1" applyFill="1" applyBorder="1" applyAlignment="1">
      <alignment horizontal="center" vertical="center" wrapText="1"/>
    </xf>
    <xf numFmtId="0" fontId="5" fillId="3" borderId="18" xfId="2" applyFont="1" applyFill="1" applyBorder="1" applyAlignment="1">
      <alignment horizontal="center" vertical="center" wrapText="1"/>
    </xf>
    <xf numFmtId="0" fontId="5" fillId="3" borderId="14" xfId="2" applyFont="1" applyFill="1" applyBorder="1" applyAlignment="1">
      <alignment horizontal="center" vertical="center" wrapText="1"/>
    </xf>
    <xf numFmtId="15" fontId="1" fillId="0" borderId="13" xfId="2" applyNumberFormat="1" applyBorder="1" applyAlignment="1">
      <alignment horizontal="center" vertical="center" wrapText="1"/>
    </xf>
    <xf numFmtId="49" fontId="1" fillId="0" borderId="18" xfId="2" quotePrefix="1" applyNumberFormat="1" applyBorder="1" applyAlignment="1">
      <alignment horizontal="center" vertical="center" wrapText="1"/>
    </xf>
    <xf numFmtId="0" fontId="1" fillId="0" borderId="19" xfId="2" applyBorder="1" applyAlignment="1">
      <alignment vertical="center" wrapText="1"/>
    </xf>
    <xf numFmtId="0" fontId="1" fillId="0" borderId="14" xfId="2" applyBorder="1" applyAlignment="1">
      <alignment horizontal="center" vertical="center" wrapText="1"/>
    </xf>
    <xf numFmtId="49" fontId="1" fillId="0" borderId="19" xfId="2" applyNumberFormat="1" applyBorder="1" applyAlignment="1">
      <alignment horizontal="center" vertical="center" wrapText="1"/>
    </xf>
    <xf numFmtId="15" fontId="1" fillId="0" borderId="20" xfId="2" applyNumberFormat="1" applyBorder="1" applyAlignment="1">
      <alignment horizontal="center" vertical="center" wrapText="1"/>
    </xf>
    <xf numFmtId="0" fontId="1" fillId="0" borderId="21" xfId="2" applyBorder="1" applyAlignment="1">
      <alignment horizontal="center" vertical="center" wrapText="1"/>
    </xf>
    <xf numFmtId="0" fontId="1" fillId="0" borderId="15" xfId="2" applyBorder="1" applyAlignment="1">
      <alignment horizontal="center" vertical="center" wrapText="1"/>
    </xf>
    <xf numFmtId="0" fontId="1" fillId="0" borderId="22" xfId="2" applyBorder="1" applyAlignment="1">
      <alignment vertical="center" wrapText="1"/>
    </xf>
    <xf numFmtId="0" fontId="1" fillId="0" borderId="16" xfId="2" applyBorder="1" applyAlignment="1">
      <alignment horizontal="center" vertical="center" wrapText="1"/>
    </xf>
    <xf numFmtId="0" fontId="9" fillId="4" borderId="23" xfId="0" applyFont="1" applyFill="1" applyBorder="1" applyAlignment="1">
      <alignment horizontal="right"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7" xfId="0" applyFont="1" applyBorder="1" applyAlignment="1">
      <alignment vertical="center"/>
    </xf>
    <xf numFmtId="0" fontId="10" fillId="0" borderId="28" xfId="0" applyFont="1" applyBorder="1" applyAlignment="1">
      <alignment vertical="center"/>
    </xf>
    <xf numFmtId="0" fontId="9" fillId="8" borderId="23" xfId="0" applyFont="1" applyFill="1" applyBorder="1" applyAlignment="1">
      <alignment horizontal="right" vertical="center" wrapText="1"/>
    </xf>
    <xf numFmtId="0" fontId="9" fillId="0" borderId="28" xfId="0" applyFont="1" applyBorder="1" applyAlignment="1">
      <alignment horizontal="right" vertical="center" wrapText="1"/>
    </xf>
    <xf numFmtId="0" fontId="11" fillId="0" borderId="27" xfId="0" applyFont="1" applyBorder="1" applyAlignment="1">
      <alignment horizontal="right" vertical="center" wrapText="1"/>
    </xf>
    <xf numFmtId="0" fontId="9" fillId="7" borderId="23" xfId="0" applyFont="1" applyFill="1" applyBorder="1" applyAlignment="1">
      <alignment vertical="center" wrapText="1"/>
    </xf>
    <xf numFmtId="0" fontId="10" fillId="0" borderId="27" xfId="0" applyFont="1" applyBorder="1" applyAlignment="1">
      <alignment horizontal="center" vertical="center" wrapText="1"/>
    </xf>
    <xf numFmtId="0" fontId="8" fillId="0" borderId="27" xfId="0" applyFont="1" applyBorder="1" applyAlignment="1">
      <alignment horizontal="center" vertical="center" wrapText="1"/>
    </xf>
    <xf numFmtId="164" fontId="8" fillId="0" borderId="27" xfId="0" applyNumberFormat="1" applyFont="1" applyBorder="1" applyAlignment="1">
      <alignment horizontal="center" vertical="center" wrapText="1"/>
    </xf>
    <xf numFmtId="0" fontId="15" fillId="0" borderId="27" xfId="0" applyFont="1" applyBorder="1" applyAlignment="1">
      <alignment horizontal="center" vertical="center" wrapText="1"/>
    </xf>
    <xf numFmtId="0" fontId="0" fillId="0" borderId="27" xfId="0" applyBorder="1" applyAlignment="1">
      <alignment horizontal="center" vertical="center"/>
    </xf>
    <xf numFmtId="0" fontId="7" fillId="0" borderId="27" xfId="0" applyFont="1" applyBorder="1" applyAlignment="1">
      <alignment horizontal="center" vertical="center" wrapText="1"/>
    </xf>
    <xf numFmtId="0" fontId="8" fillId="0" borderId="24" xfId="0" applyFont="1" applyBorder="1" applyAlignment="1">
      <alignment horizontal="center" vertical="center"/>
    </xf>
    <xf numFmtId="0" fontId="8" fillId="0" borderId="31"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3"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7" xfId="0" applyFont="1" applyBorder="1" applyAlignment="1">
      <alignment vertical="center" wrapText="1"/>
    </xf>
    <xf numFmtId="0" fontId="0" fillId="0" borderId="27" xfId="0" applyBorder="1" applyAlignment="1">
      <alignment vertical="center"/>
    </xf>
    <xf numFmtId="0" fontId="20" fillId="0" borderId="34" xfId="0" applyFont="1" applyBorder="1" applyAlignment="1">
      <alignment horizontal="center" vertical="center" wrapText="1"/>
    </xf>
    <xf numFmtId="0" fontId="21" fillId="0" borderId="27" xfId="0" applyFont="1" applyBorder="1" applyAlignment="1">
      <alignment horizontal="center" vertical="center" wrapText="1"/>
    </xf>
    <xf numFmtId="0" fontId="22" fillId="0" borderId="27" xfId="0" applyFont="1" applyBorder="1" applyAlignment="1">
      <alignment horizontal="center" vertical="center" wrapText="1"/>
    </xf>
    <xf numFmtId="0" fontId="8" fillId="0" borderId="3"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3" fillId="0" borderId="0" xfId="0" applyFont="1" applyAlignment="1">
      <alignment horizontal="center" vertical="center" wrapText="1"/>
    </xf>
    <xf numFmtId="0" fontId="1" fillId="0" borderId="16" xfId="2" applyBorder="1" applyAlignment="1">
      <alignment horizontal="left" vertical="center" wrapText="1"/>
    </xf>
    <xf numFmtId="0" fontId="5" fillId="3" borderId="17" xfId="2" applyFont="1" applyFill="1" applyBorder="1" applyAlignment="1">
      <alignment horizontal="center" vertical="center"/>
    </xf>
    <xf numFmtId="0" fontId="2" fillId="0" borderId="1" xfId="2" applyFont="1" applyBorder="1" applyAlignment="1">
      <alignment horizontal="right" vertical="center" wrapText="1"/>
    </xf>
    <xf numFmtId="0" fontId="1" fillId="0" borderId="14" xfId="2" applyBorder="1" applyAlignment="1">
      <alignment horizontal="left" vertical="center" wrapText="1"/>
    </xf>
    <xf numFmtId="15" fontId="1" fillId="0" borderId="14" xfId="2" applyNumberFormat="1" applyBorder="1" applyAlignment="1">
      <alignment horizontal="left" vertical="center" wrapText="1"/>
    </xf>
    <xf numFmtId="0" fontId="9" fillId="4" borderId="23" xfId="0" applyFont="1" applyFill="1" applyBorder="1" applyAlignment="1">
      <alignment horizontal="right" vertical="top"/>
    </xf>
    <xf numFmtId="0" fontId="8" fillId="0" borderId="24" xfId="0" applyFont="1" applyBorder="1" applyAlignment="1">
      <alignment horizontal="left" vertical="center" indent="1"/>
    </xf>
    <xf numFmtId="0" fontId="8" fillId="0" borderId="25" xfId="0" applyFont="1" applyBorder="1" applyAlignment="1">
      <alignment horizontal="left" vertical="center" indent="1"/>
    </xf>
    <xf numFmtId="0" fontId="8" fillId="0" borderId="26" xfId="0" applyFont="1" applyBorder="1" applyAlignment="1">
      <alignment horizontal="left" vertical="center" indent="1"/>
    </xf>
    <xf numFmtId="0" fontId="21" fillId="0" borderId="24" xfId="0" applyFont="1" applyBorder="1" applyAlignment="1">
      <alignment horizontal="left" vertical="center" indent="1"/>
    </xf>
    <xf numFmtId="0" fontId="21" fillId="0" borderId="25" xfId="0" applyFont="1" applyBorder="1" applyAlignment="1">
      <alignment horizontal="left" vertical="center" indent="1"/>
    </xf>
    <xf numFmtId="0" fontId="21" fillId="0" borderId="26" xfId="0" applyFont="1" applyBorder="1" applyAlignment="1">
      <alignment horizontal="left" vertical="center" indent="1"/>
    </xf>
    <xf numFmtId="0" fontId="9" fillId="0" borderId="4" xfId="0" applyFont="1" applyBorder="1" applyAlignment="1">
      <alignment horizontal="right" vertical="center" wrapText="1"/>
    </xf>
    <xf numFmtId="0" fontId="9" fillId="0" borderId="3" xfId="0" applyFont="1" applyBorder="1" applyAlignment="1">
      <alignment horizontal="right" vertical="center" wrapText="1"/>
    </xf>
    <xf numFmtId="0" fontId="9" fillId="5" borderId="30"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11" fillId="0" borderId="10" xfId="0" applyFont="1" applyBorder="1" applyAlignment="1">
      <alignment horizontal="right" vertical="center" wrapText="1"/>
    </xf>
    <xf numFmtId="0" fontId="11" fillId="0" borderId="11" xfId="0" applyFont="1" applyBorder="1" applyAlignment="1">
      <alignment horizontal="right" vertical="center" wrapText="1"/>
    </xf>
    <xf numFmtId="0" fontId="10" fillId="0" borderId="10" xfId="0" applyFont="1" applyBorder="1" applyAlignment="1">
      <alignment horizontal="left" vertical="center" wrapText="1"/>
    </xf>
    <xf numFmtId="0" fontId="8" fillId="0" borderId="27" xfId="0" applyFont="1" applyBorder="1" applyAlignment="1">
      <alignment horizontal="left" vertical="center" wrapText="1" indent="1"/>
    </xf>
    <xf numFmtId="0" fontId="8" fillId="0" borderId="2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9" fillId="7" borderId="23" xfId="0" applyFont="1" applyFill="1" applyBorder="1" applyAlignment="1">
      <alignment horizontal="left" vertical="top" wrapText="1"/>
    </xf>
    <xf numFmtId="0" fontId="9" fillId="0" borderId="27" xfId="0" applyFont="1" applyBorder="1" applyAlignment="1">
      <alignment horizontal="right" vertical="center" wrapText="1"/>
    </xf>
    <xf numFmtId="0" fontId="9" fillId="0" borderId="28" xfId="0" applyFont="1" applyBorder="1" applyAlignment="1">
      <alignment horizontal="right" vertical="center" wrapText="1"/>
    </xf>
    <xf numFmtId="0" fontId="10" fillId="0" borderId="27" xfId="0" applyFont="1" applyBorder="1" applyAlignment="1">
      <alignment horizontal="left" vertical="center" wrapText="1"/>
    </xf>
    <xf numFmtId="0" fontId="11" fillId="0" borderId="27" xfId="0" applyFont="1" applyBorder="1" applyAlignment="1">
      <alignment horizontal="right" vertical="center" wrapText="1"/>
    </xf>
    <xf numFmtId="0" fontId="11" fillId="0" borderId="28" xfId="0" applyFont="1" applyBorder="1" applyAlignment="1">
      <alignment horizontal="right" vertical="center" wrapText="1"/>
    </xf>
    <xf numFmtId="0" fontId="13" fillId="0" borderId="27" xfId="0" applyFont="1" applyBorder="1" applyAlignment="1">
      <alignment horizontal="left" vertical="center" wrapText="1"/>
    </xf>
    <xf numFmtId="0" fontId="10" fillId="0" borderId="27" xfId="0" applyFont="1" applyBorder="1" applyAlignment="1">
      <alignment horizontal="center" vertical="center" wrapText="1"/>
    </xf>
    <xf numFmtId="0" fontId="9" fillId="7" borderId="29" xfId="0" applyFont="1" applyFill="1" applyBorder="1" applyAlignment="1">
      <alignment horizontal="left" vertical="top" wrapText="1"/>
    </xf>
    <xf numFmtId="0" fontId="9" fillId="7" borderId="5" xfId="0" applyFont="1" applyFill="1" applyBorder="1" applyAlignment="1">
      <alignment horizontal="left" vertical="top" wrapText="1"/>
    </xf>
    <xf numFmtId="0" fontId="9" fillId="0" borderId="27" xfId="0" applyFont="1" applyBorder="1" applyAlignment="1">
      <alignment horizontal="right" vertical="center"/>
    </xf>
    <xf numFmtId="0" fontId="9" fillId="0" borderId="28" xfId="0" applyFont="1" applyBorder="1" applyAlignment="1">
      <alignment horizontal="right" vertical="center"/>
    </xf>
    <xf numFmtId="0" fontId="14" fillId="0" borderId="27" xfId="0" applyFont="1" applyBorder="1" applyAlignment="1">
      <alignment horizontal="right" vertical="center" wrapText="1"/>
    </xf>
    <xf numFmtId="0" fontId="14" fillId="0" borderId="28" xfId="0" applyFont="1" applyBorder="1" applyAlignment="1">
      <alignment horizontal="right" vertical="center" wrapText="1"/>
    </xf>
    <xf numFmtId="0" fontId="9" fillId="5" borderId="27" xfId="0" applyFont="1" applyFill="1" applyBorder="1" applyAlignment="1">
      <alignment horizontal="center" vertical="center" wrapText="1"/>
    </xf>
    <xf numFmtId="0" fontId="21" fillId="0" borderId="35" xfId="0" applyFont="1" applyBorder="1" applyAlignment="1">
      <alignment horizontal="center" vertical="center"/>
    </xf>
    <xf numFmtId="0" fontId="21" fillId="0" borderId="31" xfId="0" applyFont="1" applyBorder="1" applyAlignment="1">
      <alignment horizontal="center" vertical="center"/>
    </xf>
    <xf numFmtId="0" fontId="8" fillId="0" borderId="12" xfId="0" applyFont="1" applyBorder="1" applyAlignment="1">
      <alignment horizontal="center" vertical="center"/>
    </xf>
    <xf numFmtId="0" fontId="8" fillId="0" borderId="2"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24" xfId="0" applyFont="1" applyBorder="1" applyAlignment="1">
      <alignment horizontal="center" vertical="center"/>
    </xf>
    <xf numFmtId="0" fontId="8" fillId="0" borderId="31" xfId="0" applyFont="1" applyBorder="1" applyAlignment="1">
      <alignment horizontal="center" vertical="center"/>
    </xf>
    <xf numFmtId="0" fontId="16" fillId="0" borderId="7" xfId="0" applyFont="1" applyBorder="1" applyAlignment="1">
      <alignment horizontal="center" vertical="center"/>
    </xf>
    <xf numFmtId="0" fontId="3" fillId="2" borderId="36" xfId="2" applyFont="1" applyFill="1" applyBorder="1" applyAlignment="1">
      <alignment horizontal="center" vertical="center" wrapText="1"/>
    </xf>
    <xf numFmtId="0" fontId="6" fillId="3" borderId="37" xfId="2" applyFont="1" applyFill="1" applyBorder="1" applyAlignment="1">
      <alignment horizontal="center" vertical="center" wrapText="1"/>
    </xf>
    <xf numFmtId="0" fontId="12" fillId="5"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3" fillId="2" borderId="38" xfId="2" applyFont="1" applyFill="1" applyBorder="1" applyAlignment="1">
      <alignment horizontal="center" vertical="center" wrapText="1"/>
    </xf>
    <xf numFmtId="0" fontId="9" fillId="8" borderId="39" xfId="0" applyFont="1" applyFill="1" applyBorder="1" applyAlignment="1">
      <alignment horizontal="center" vertical="center" wrapText="1"/>
    </xf>
    <xf numFmtId="0" fontId="9" fillId="8" borderId="40" xfId="0" applyFont="1" applyFill="1" applyBorder="1" applyAlignment="1">
      <alignment horizontal="center" vertical="center" wrapText="1"/>
    </xf>
    <xf numFmtId="0" fontId="9" fillId="8" borderId="41" xfId="0" applyFont="1" applyFill="1" applyBorder="1" applyAlignment="1">
      <alignment horizontal="center" vertical="center" wrapText="1"/>
    </xf>
    <xf numFmtId="0" fontId="9" fillId="7" borderId="42" xfId="0" applyFont="1" applyFill="1" applyBorder="1" applyAlignment="1">
      <alignment horizontal="center" vertical="center" wrapText="1"/>
    </xf>
    <xf numFmtId="0" fontId="9" fillId="7" borderId="43" xfId="0" applyFont="1" applyFill="1" applyBorder="1" applyAlignment="1">
      <alignment horizontal="center" vertical="center" wrapText="1"/>
    </xf>
    <xf numFmtId="0" fontId="9" fillId="7" borderId="44" xfId="0" applyFont="1" applyFill="1" applyBorder="1" applyAlignment="1">
      <alignment horizontal="center" vertical="center" wrapText="1"/>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9" xfId="0" applyFont="1" applyFill="1" applyBorder="1" applyAlignment="1">
      <alignment horizontal="center" vertical="center" wrapText="1"/>
    </xf>
    <xf numFmtId="0" fontId="8" fillId="0" borderId="50" xfId="0" applyFont="1" applyBorder="1" applyAlignment="1">
      <alignment horizontal="center" vertical="center"/>
    </xf>
    <xf numFmtId="0" fontId="8" fillId="0" borderId="51" xfId="0" applyFont="1" applyBorder="1" applyAlignment="1">
      <alignment horizontal="center" vertical="center"/>
    </xf>
    <xf numFmtId="0" fontId="8" fillId="0" borderId="52" xfId="0" applyFont="1" applyBorder="1" applyAlignment="1">
      <alignment horizontal="center" vertical="center" wrapText="1"/>
    </xf>
    <xf numFmtId="0" fontId="8" fillId="0" borderId="53" xfId="0" applyFont="1" applyBorder="1" applyAlignment="1">
      <alignment horizontal="center" vertical="center" wrapText="1"/>
    </xf>
  </cellXfs>
  <cellStyles count="3">
    <cellStyle name="Normal" xfId="0" builtinId="0"/>
    <cellStyle name="Normal 2" xfId="2" xr:uid="{E772B63F-650C-4286-90AC-7F7DE8669DAA}"/>
    <cellStyle name="Normal 3" xfId="1" xr:uid="{FF2FB8E9-5E7A-41F5-8C2B-C9321D41EB8E}"/>
  </cellStyles>
  <dxfs count="0"/>
  <tableStyles count="0" defaultTableStyle="TableStyleMedium2" defaultPivotStyle="PivotStyleLight16"/>
  <colors>
    <mruColors>
      <color rgb="FF000080"/>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Test Runs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6F0-4D9D-BF80-F67B8354D72B}"/>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6F0-4D9D-BF80-F67B8354D72B}"/>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6F0-4D9D-BF80-F67B8354D72B}"/>
              </c:ext>
            </c:extLst>
          </c:dPt>
          <c:dPt>
            <c:idx val="3"/>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9C6-4D39-BE59-0D09DE5A6A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 Range'!$D$2:$D$5</c:f>
              <c:strCache>
                <c:ptCount val="4"/>
                <c:pt idx="0">
                  <c:v>Passed</c:v>
                </c:pt>
                <c:pt idx="1">
                  <c:v>Failed</c:v>
                </c:pt>
                <c:pt idx="2">
                  <c:v>Not Executed</c:v>
                </c:pt>
                <c:pt idx="3">
                  <c:v>Blocked</c:v>
                </c:pt>
              </c:strCache>
            </c:strRef>
          </c:cat>
          <c:val>
            <c:numRef>
              <c:f>'Data Range'!$E$2:$E$5</c:f>
              <c:numCache>
                <c:formatCode>General</c:formatCode>
                <c:ptCount val="4"/>
                <c:pt idx="0">
                  <c:v>52</c:v>
                </c:pt>
                <c:pt idx="1">
                  <c:v>0</c:v>
                </c:pt>
                <c:pt idx="2">
                  <c:v>0</c:v>
                </c:pt>
                <c:pt idx="3">
                  <c:v>0</c:v>
                </c:pt>
              </c:numCache>
            </c:numRef>
          </c:val>
          <c:extLst>
            <c:ext xmlns:c16="http://schemas.microsoft.com/office/drawing/2014/chart" uri="{C3380CC4-5D6E-409C-BE32-E72D297353CC}">
              <c16:uniqueId val="{00000000-E324-4E59-81B9-0B4958239B4A}"/>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Defect Density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'1. Summary Report'!$J$19</c:f>
              <c:strCache>
                <c:ptCount val="1"/>
                <c:pt idx="0">
                  <c:v>Total Defects</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 Summary Report'!$J$20:$J$30</c:f>
              <c:numCache>
                <c:formatCode>General</c:formatCode>
                <c:ptCount val="11"/>
                <c:pt idx="1">
                  <c:v>4</c:v>
                </c:pt>
                <c:pt idx="2">
                  <c:v>1</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3A4-4059-A480-8A19082D93D5}"/>
            </c:ext>
          </c:extLst>
        </c:ser>
        <c:ser>
          <c:idx val="1"/>
          <c:order val="1"/>
          <c:tx>
            <c:strRef>
              <c:f>'1. Summary Report'!$K$19</c:f>
              <c:strCache>
                <c:ptCount val="1"/>
                <c:pt idx="0">
                  <c:v>Line of code
(LOC)</c:v>
                </c:pt>
              </c:strCache>
            </c:strRef>
          </c:tx>
          <c:spPr>
            <a:ln w="22225" cap="rnd">
              <a:solidFill>
                <a:schemeClr val="accent2"/>
              </a:solidFill>
            </a:ln>
            <a:effectLst>
              <a:glow rad="139700">
                <a:schemeClr val="accent2">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val>
            <c:numRef>
              <c:f>'1. Summary Report'!$K$20:$K$30</c:f>
              <c:numCache>
                <c:formatCode>General</c:formatCode>
                <c:ptCount val="11"/>
              </c:numCache>
            </c:numRef>
          </c:val>
          <c:smooth val="0"/>
          <c:extLst>
            <c:ext xmlns:c16="http://schemas.microsoft.com/office/drawing/2014/chart" uri="{C3380CC4-5D6E-409C-BE32-E72D297353CC}">
              <c16:uniqueId val="{00000001-D3A4-4059-A480-8A19082D93D5}"/>
            </c:ext>
          </c:extLst>
        </c:ser>
        <c:dLbls>
          <c:dLblPos val="ctr"/>
          <c:showLegendKey val="0"/>
          <c:showVal val="1"/>
          <c:showCatName val="0"/>
          <c:showSerName val="0"/>
          <c:showPercent val="0"/>
          <c:showBubbleSize val="0"/>
        </c:dLbls>
        <c:smooth val="0"/>
        <c:axId val="458299272"/>
        <c:axId val="458299600"/>
      </c:lineChart>
      <c:catAx>
        <c:axId val="458299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8299600"/>
        <c:crosses val="autoZero"/>
        <c:auto val="1"/>
        <c:lblAlgn val="ctr"/>
        <c:lblOffset val="100"/>
        <c:noMultiLvlLbl val="0"/>
      </c:catAx>
      <c:valAx>
        <c:axId val="458299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8299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Defects</a:t>
            </a:r>
            <a:r>
              <a:rPr lang="en-US" baseline="0"/>
              <a:t> By Module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 Range'!$H$2</c:f>
              <c:strCache>
                <c:ptCount val="1"/>
                <c:pt idx="0">
                  <c:v>Critical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Range'!$G$3:$G$12</c:f>
              <c:strCache>
                <c:ptCount val="10"/>
                <c:pt idx="0">
                  <c:v>Import TKB</c:v>
                </c:pt>
                <c:pt idx="1">
                  <c:v>Phân công</c:v>
                </c:pt>
                <c:pt idx="2">
                  <c:v>Xem TKB</c:v>
                </c:pt>
                <c:pt idx="3">
                  <c:v>Import TKB
Phân công</c:v>
                </c:pt>
                <c:pt idx="4">
                  <c:v>Phân công
Xem TKB</c:v>
                </c:pt>
                <c:pt idx="5">
                  <c:v>Phân Công
Số giờ giảng viên</c:v>
                </c:pt>
                <c:pt idx="6">
                  <c:v>Phân công
Số giờ quy đổi</c:v>
                </c:pt>
                <c:pt idx="7">
                  <c:v>Phân công 
Số giờ cá nhân</c:v>
                </c:pt>
                <c:pt idx="8">
                  <c:v>Phân công 
lịch giảng dạy</c:v>
                </c:pt>
                <c:pt idx="9">
                  <c:v>Import TKB
Môn học</c:v>
                </c:pt>
              </c:strCache>
            </c:strRef>
          </c:cat>
          <c:val>
            <c:numRef>
              <c:f>'Data Range'!$H$3:$H$12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1E1-4FAC-8E3B-49F3F84BCFA8}"/>
            </c:ext>
          </c:extLst>
        </c:ser>
        <c:ser>
          <c:idx val="1"/>
          <c:order val="1"/>
          <c:tx>
            <c:strRef>
              <c:f>'Data Range'!$I$2</c:f>
              <c:strCache>
                <c:ptCount val="1"/>
                <c:pt idx="0">
                  <c:v>High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Range'!$G$3:$G$12</c:f>
              <c:strCache>
                <c:ptCount val="10"/>
                <c:pt idx="0">
                  <c:v>Import TKB</c:v>
                </c:pt>
                <c:pt idx="1">
                  <c:v>Phân công</c:v>
                </c:pt>
                <c:pt idx="2">
                  <c:v>Xem TKB</c:v>
                </c:pt>
                <c:pt idx="3">
                  <c:v>Import TKB
Phân công</c:v>
                </c:pt>
                <c:pt idx="4">
                  <c:v>Phân công
Xem TKB</c:v>
                </c:pt>
                <c:pt idx="5">
                  <c:v>Phân Công
Số giờ giảng viên</c:v>
                </c:pt>
                <c:pt idx="6">
                  <c:v>Phân công
Số giờ quy đổi</c:v>
                </c:pt>
                <c:pt idx="7">
                  <c:v>Phân công 
Số giờ cá nhân</c:v>
                </c:pt>
                <c:pt idx="8">
                  <c:v>Phân công 
lịch giảng dạy</c:v>
                </c:pt>
                <c:pt idx="9">
                  <c:v>Import TKB
Môn học</c:v>
                </c:pt>
              </c:strCache>
            </c:strRef>
          </c:cat>
          <c:val>
            <c:numRef>
              <c:f>'Data Range'!$I$3:$I$12</c:f>
              <c:numCache>
                <c:formatCode>General</c:formatCode>
                <c:ptCount val="10"/>
                <c:pt idx="0">
                  <c:v>2</c:v>
                </c:pt>
                <c:pt idx="1">
                  <c:v>1</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1E1-4FAC-8E3B-49F3F84BCFA8}"/>
            </c:ext>
          </c:extLst>
        </c:ser>
        <c:ser>
          <c:idx val="2"/>
          <c:order val="2"/>
          <c:tx>
            <c:strRef>
              <c:f>'Data Range'!$J$2</c:f>
              <c:strCache>
                <c:ptCount val="1"/>
                <c:pt idx="0">
                  <c:v>Medium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Range'!$G$3:$G$12</c:f>
              <c:strCache>
                <c:ptCount val="10"/>
                <c:pt idx="0">
                  <c:v>Import TKB</c:v>
                </c:pt>
                <c:pt idx="1">
                  <c:v>Phân công</c:v>
                </c:pt>
                <c:pt idx="2">
                  <c:v>Xem TKB</c:v>
                </c:pt>
                <c:pt idx="3">
                  <c:v>Import TKB
Phân công</c:v>
                </c:pt>
                <c:pt idx="4">
                  <c:v>Phân công
Xem TKB</c:v>
                </c:pt>
                <c:pt idx="5">
                  <c:v>Phân Công
Số giờ giảng viên</c:v>
                </c:pt>
                <c:pt idx="6">
                  <c:v>Phân công
Số giờ quy đổi</c:v>
                </c:pt>
                <c:pt idx="7">
                  <c:v>Phân công 
Số giờ cá nhân</c:v>
                </c:pt>
                <c:pt idx="8">
                  <c:v>Phân công 
lịch giảng dạy</c:v>
                </c:pt>
                <c:pt idx="9">
                  <c:v>Import TKB
Môn học</c:v>
                </c:pt>
              </c:strCache>
            </c:strRef>
          </c:cat>
          <c:val>
            <c:numRef>
              <c:f>'Data Range'!$J$3:$J$12</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1E1-4FAC-8E3B-49F3F84BCFA8}"/>
            </c:ext>
          </c:extLst>
        </c:ser>
        <c:dLbls>
          <c:showLegendKey val="0"/>
          <c:showVal val="0"/>
          <c:showCatName val="0"/>
          <c:showSerName val="0"/>
          <c:showPercent val="0"/>
          <c:showBubbleSize val="0"/>
        </c:dLbls>
        <c:gapWidth val="100"/>
        <c:overlap val="-24"/>
        <c:axId val="557616232"/>
        <c:axId val="557617544"/>
      </c:barChart>
      <c:catAx>
        <c:axId val="557616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617544"/>
        <c:crosses val="autoZero"/>
        <c:auto val="1"/>
        <c:lblAlgn val="ctr"/>
        <c:lblOffset val="100"/>
        <c:noMultiLvlLbl val="0"/>
      </c:catAx>
      <c:valAx>
        <c:axId val="557617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7616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28576</xdr:colOff>
      <xdr:row>0</xdr:row>
      <xdr:rowOff>114300</xdr:rowOff>
    </xdr:from>
    <xdr:to>
      <xdr:col>1</xdr:col>
      <xdr:colOff>1381126</xdr:colOff>
      <xdr:row>0</xdr:row>
      <xdr:rowOff>469754</xdr:rowOff>
    </xdr:to>
    <xdr:pic>
      <xdr:nvPicPr>
        <xdr:cNvPr id="3" name="Picture 2">
          <a:extLst>
            <a:ext uri="{FF2B5EF4-FFF2-40B4-BE49-F238E27FC236}">
              <a16:creationId xmlns:a16="http://schemas.microsoft.com/office/drawing/2014/main" id="{70BDB1B9-75BB-4696-B77D-C855280E4B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6" y="114300"/>
          <a:ext cx="1352550" cy="355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476251</xdr:colOff>
      <xdr:row>3</xdr:row>
      <xdr:rowOff>104775</xdr:rowOff>
    </xdr:from>
    <xdr:to>
      <xdr:col>13</xdr:col>
      <xdr:colOff>2266950</xdr:colOff>
      <xdr:row>15</xdr:row>
      <xdr:rowOff>152400</xdr:rowOff>
    </xdr:to>
    <xdr:graphicFrame macro="">
      <xdr:nvGraphicFramePr>
        <xdr:cNvPr id="9" name="Chart 2">
          <a:extLst>
            <a:ext uri="{FF2B5EF4-FFF2-40B4-BE49-F238E27FC236}">
              <a16:creationId xmlns:a16="http://schemas.microsoft.com/office/drawing/2014/main" id="{CF03F38D-6704-4D57-9355-28D71764B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180975</xdr:colOff>
      <xdr:row>15</xdr:row>
      <xdr:rowOff>314325</xdr:rowOff>
    </xdr:from>
    <xdr:to>
      <xdr:col>21</xdr:col>
      <xdr:colOff>485775</xdr:colOff>
      <xdr:row>29</xdr:row>
      <xdr:rowOff>28575</xdr:rowOff>
    </xdr:to>
    <xdr:graphicFrame macro="">
      <xdr:nvGraphicFramePr>
        <xdr:cNvPr id="7" name="Chart 1">
          <a:extLst>
            <a:ext uri="{FF2B5EF4-FFF2-40B4-BE49-F238E27FC236}">
              <a16:creationId xmlns:a16="http://schemas.microsoft.com/office/drawing/2014/main" id="{E6863A11-F998-4F0E-9168-341C4F0F2A76}"/>
            </a:ext>
            <a:ext uri="{147F2762-F138-4A5C-976F-8EAC2B608ADB}">
              <a16:predDERef xmlns:a16="http://schemas.microsoft.com/office/drawing/2014/main" pred="{CF03F38D-6704-4D57-9355-28D71764B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66675</xdr:colOff>
      <xdr:row>4</xdr:row>
      <xdr:rowOff>142875</xdr:rowOff>
    </xdr:from>
    <xdr:to>
      <xdr:col>7</xdr:col>
      <xdr:colOff>1752600</xdr:colOff>
      <xdr:row>4</xdr:row>
      <xdr:rowOff>1352550</xdr:rowOff>
    </xdr:to>
    <xdr:pic>
      <xdr:nvPicPr>
        <xdr:cNvPr id="2" name="Ảnh 1">
          <a:extLst>
            <a:ext uri="{FF2B5EF4-FFF2-40B4-BE49-F238E27FC236}">
              <a16:creationId xmlns:a16="http://schemas.microsoft.com/office/drawing/2014/main" id="{25B751BE-3994-F3AD-6C53-D0A657BAAAA5}"/>
            </a:ext>
          </a:extLst>
        </xdr:cNvPr>
        <xdr:cNvPicPr>
          <a:picLocks noChangeAspect="1"/>
        </xdr:cNvPicPr>
      </xdr:nvPicPr>
      <xdr:blipFill>
        <a:blip xmlns:r="http://schemas.openxmlformats.org/officeDocument/2006/relationships" r:embed="rId1"/>
        <a:stretch>
          <a:fillRect/>
        </a:stretch>
      </xdr:blipFill>
      <xdr:spPr>
        <a:xfrm>
          <a:off x="7953375" y="1219200"/>
          <a:ext cx="1685925" cy="1209675"/>
        </a:xfrm>
        <a:prstGeom prst="rect">
          <a:avLst/>
        </a:prstGeom>
      </xdr:spPr>
    </xdr:pic>
    <xdr:clientData/>
  </xdr:twoCellAnchor>
  <xdr:twoCellAnchor editAs="oneCell">
    <xdr:from>
      <xdr:col>7</xdr:col>
      <xdr:colOff>57150</xdr:colOff>
      <xdr:row>5</xdr:row>
      <xdr:rowOff>47625</xdr:rowOff>
    </xdr:from>
    <xdr:to>
      <xdr:col>7</xdr:col>
      <xdr:colOff>1743075</xdr:colOff>
      <xdr:row>5</xdr:row>
      <xdr:rowOff>1257300</xdr:rowOff>
    </xdr:to>
    <xdr:pic>
      <xdr:nvPicPr>
        <xdr:cNvPr id="3" name="Ảnh 2">
          <a:extLst>
            <a:ext uri="{FF2B5EF4-FFF2-40B4-BE49-F238E27FC236}">
              <a16:creationId xmlns:a16="http://schemas.microsoft.com/office/drawing/2014/main" id="{9028D89A-2241-4E01-9FB7-4D89BAB283CA}"/>
            </a:ext>
            <a:ext uri="{147F2762-F138-4A5C-976F-8EAC2B608ADB}">
              <a16:predDERef xmlns:a16="http://schemas.microsoft.com/office/drawing/2014/main" pred="{25B751BE-3994-F3AD-6C53-D0A657BAAAA5}"/>
            </a:ext>
          </a:extLst>
        </xdr:cNvPr>
        <xdr:cNvPicPr>
          <a:picLocks noChangeAspect="1"/>
        </xdr:cNvPicPr>
      </xdr:nvPicPr>
      <xdr:blipFill>
        <a:blip xmlns:r="http://schemas.openxmlformats.org/officeDocument/2006/relationships" r:embed="rId1"/>
        <a:stretch>
          <a:fillRect/>
        </a:stretch>
      </xdr:blipFill>
      <xdr:spPr>
        <a:xfrm>
          <a:off x="7943850" y="2686050"/>
          <a:ext cx="1685925" cy="1209675"/>
        </a:xfrm>
        <a:prstGeom prst="rect">
          <a:avLst/>
        </a:prstGeom>
      </xdr:spPr>
    </xdr:pic>
    <xdr:clientData/>
  </xdr:twoCellAnchor>
  <xdr:twoCellAnchor editAs="oneCell">
    <xdr:from>
      <xdr:col>6</xdr:col>
      <xdr:colOff>123825</xdr:colOff>
      <xdr:row>6</xdr:row>
      <xdr:rowOff>66675</xdr:rowOff>
    </xdr:from>
    <xdr:to>
      <xdr:col>7</xdr:col>
      <xdr:colOff>2552700</xdr:colOff>
      <xdr:row>6</xdr:row>
      <xdr:rowOff>1562100</xdr:rowOff>
    </xdr:to>
    <xdr:pic>
      <xdr:nvPicPr>
        <xdr:cNvPr id="4" name="Ảnh 3">
          <a:extLst>
            <a:ext uri="{FF2B5EF4-FFF2-40B4-BE49-F238E27FC236}">
              <a16:creationId xmlns:a16="http://schemas.microsoft.com/office/drawing/2014/main" id="{D0C7B307-38AE-44BA-E634-7E3D0C647977}"/>
            </a:ext>
            <a:ext uri="{147F2762-F138-4A5C-976F-8EAC2B608ADB}">
              <a16:predDERef xmlns:a16="http://schemas.microsoft.com/office/drawing/2014/main" pred="{9028D89A-2241-4E01-9FB7-4D89BAB283CA}"/>
            </a:ext>
          </a:extLst>
        </xdr:cNvPr>
        <xdr:cNvPicPr>
          <a:picLocks noChangeAspect="1"/>
        </xdr:cNvPicPr>
      </xdr:nvPicPr>
      <xdr:blipFill>
        <a:blip xmlns:r="http://schemas.openxmlformats.org/officeDocument/2006/relationships" r:embed="rId2"/>
        <a:stretch>
          <a:fillRect/>
        </a:stretch>
      </xdr:blipFill>
      <xdr:spPr>
        <a:xfrm>
          <a:off x="7305675" y="4057650"/>
          <a:ext cx="3133725" cy="1495425"/>
        </a:xfrm>
        <a:prstGeom prst="rect">
          <a:avLst/>
        </a:prstGeom>
      </xdr:spPr>
    </xdr:pic>
    <xdr:clientData/>
  </xdr:twoCellAnchor>
  <xdr:twoCellAnchor editAs="oneCell">
    <xdr:from>
      <xdr:col>6</xdr:col>
      <xdr:colOff>247650</xdr:colOff>
      <xdr:row>7</xdr:row>
      <xdr:rowOff>38100</xdr:rowOff>
    </xdr:from>
    <xdr:to>
      <xdr:col>7</xdr:col>
      <xdr:colOff>2333625</xdr:colOff>
      <xdr:row>7</xdr:row>
      <xdr:rowOff>1685925</xdr:rowOff>
    </xdr:to>
    <xdr:pic>
      <xdr:nvPicPr>
        <xdr:cNvPr id="8" name="Ảnh 4">
          <a:extLst>
            <a:ext uri="{FF2B5EF4-FFF2-40B4-BE49-F238E27FC236}">
              <a16:creationId xmlns:a16="http://schemas.microsoft.com/office/drawing/2014/main" id="{68CDE787-B24D-5320-30C3-747429CAEF6F}"/>
            </a:ext>
            <a:ext uri="{147F2762-F138-4A5C-976F-8EAC2B608ADB}">
              <a16:predDERef xmlns:a16="http://schemas.microsoft.com/office/drawing/2014/main" pred="{D0C7B307-38AE-44BA-E634-7E3D0C647977}"/>
            </a:ext>
          </a:extLst>
        </xdr:cNvPr>
        <xdr:cNvPicPr>
          <a:picLocks noChangeAspect="1"/>
        </xdr:cNvPicPr>
      </xdr:nvPicPr>
      <xdr:blipFill>
        <a:blip xmlns:r="http://schemas.openxmlformats.org/officeDocument/2006/relationships" r:embed="rId3"/>
        <a:stretch>
          <a:fillRect/>
        </a:stretch>
      </xdr:blipFill>
      <xdr:spPr>
        <a:xfrm>
          <a:off x="7429500" y="5772150"/>
          <a:ext cx="2790825" cy="1647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161925</xdr:colOff>
      <xdr:row>2</xdr:row>
      <xdr:rowOff>47625</xdr:rowOff>
    </xdr:from>
    <xdr:to>
      <xdr:col>18</xdr:col>
      <xdr:colOff>466725</xdr:colOff>
      <xdr:row>15</xdr:row>
      <xdr:rowOff>180975</xdr:rowOff>
    </xdr:to>
    <xdr:graphicFrame macro="">
      <xdr:nvGraphicFramePr>
        <xdr:cNvPr id="2" name="Chart 1">
          <a:extLst>
            <a:ext uri="{FF2B5EF4-FFF2-40B4-BE49-F238E27FC236}">
              <a16:creationId xmlns:a16="http://schemas.microsoft.com/office/drawing/2014/main" id="{09E295AC-D18A-4963-AC70-5C89A8D76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4FC7-9823-4614-A79B-42C9CAA00AC0}">
  <dimension ref="B1:F19"/>
  <sheetViews>
    <sheetView topLeftCell="A4" workbookViewId="0">
      <selection activeCell="I8" sqref="I8"/>
    </sheetView>
  </sheetViews>
  <sheetFormatPr defaultColWidth="9.140625" defaultRowHeight="18.75" customHeight="1"/>
  <cols>
    <col min="1" max="1" width="1.140625" style="3" customWidth="1"/>
    <col min="2" max="2" width="20.85546875" style="3" customWidth="1"/>
    <col min="3" max="3" width="16.85546875" style="3" customWidth="1"/>
    <col min="4" max="4" width="43.140625" style="3" customWidth="1"/>
    <col min="5" max="5" width="21.42578125" style="3" customWidth="1"/>
    <col min="6" max="16384" width="9.140625" style="3"/>
  </cols>
  <sheetData>
    <row r="1" spans="2:6" ht="46.5" customHeight="1" thickBot="1">
      <c r="B1" s="4"/>
      <c r="C1" s="77" t="s">
        <v>0</v>
      </c>
      <c r="D1" s="77"/>
      <c r="E1" s="77"/>
    </row>
    <row r="2" spans="2:6" ht="25.5" customHeight="1" thickBot="1">
      <c r="B2" s="126" t="s">
        <v>1</v>
      </c>
      <c r="C2" s="126"/>
      <c r="D2" s="126"/>
      <c r="E2" s="126"/>
    </row>
    <row r="3" spans="2:6" ht="18.75" customHeight="1">
      <c r="B3" s="1"/>
      <c r="C3" s="1"/>
      <c r="D3" s="2"/>
      <c r="E3" s="5" t="s">
        <v>2</v>
      </c>
      <c r="F3" s="2"/>
    </row>
    <row r="4" spans="2:6" ht="18.75" customHeight="1" thickBot="1">
      <c r="B4" s="1"/>
      <c r="C4" s="1"/>
      <c r="D4" s="2"/>
      <c r="E4" s="6"/>
      <c r="F4" s="2"/>
    </row>
    <row r="5" spans="2:6" ht="18.75" customHeight="1">
      <c r="B5" s="127" t="s">
        <v>3</v>
      </c>
      <c r="C5" s="127"/>
      <c r="D5" s="127"/>
      <c r="E5" s="127"/>
    </row>
    <row r="6" spans="2:6" ht="18.75" customHeight="1">
      <c r="B6" s="29" t="s">
        <v>4</v>
      </c>
      <c r="C6" s="78" t="s">
        <v>5</v>
      </c>
      <c r="D6" s="78"/>
      <c r="E6" s="78"/>
    </row>
    <row r="7" spans="2:6" ht="18.75" customHeight="1">
      <c r="B7" s="29" t="s">
        <v>6</v>
      </c>
      <c r="C7" s="79"/>
      <c r="D7" s="78"/>
      <c r="E7" s="78"/>
    </row>
    <row r="8" spans="2:6" ht="18.75" customHeight="1">
      <c r="B8" s="29" t="s">
        <v>7</v>
      </c>
      <c r="C8" s="78"/>
      <c r="D8" s="78"/>
      <c r="E8" s="78"/>
    </row>
    <row r="9" spans="2:6" ht="18.75" customHeight="1" thickBot="1">
      <c r="B9" s="30" t="s">
        <v>8</v>
      </c>
      <c r="C9" s="75"/>
      <c r="D9" s="75"/>
      <c r="E9" s="75"/>
    </row>
    <row r="10" spans="2:6" ht="18.75" customHeight="1">
      <c r="B10" s="76" t="s">
        <v>9</v>
      </c>
      <c r="C10" s="76"/>
      <c r="D10" s="76"/>
      <c r="E10" s="76"/>
    </row>
    <row r="11" spans="2:6" ht="18.75" customHeight="1">
      <c r="B11" s="31" t="s">
        <v>10</v>
      </c>
      <c r="C11" s="32" t="s">
        <v>11</v>
      </c>
      <c r="D11" s="32" t="s">
        <v>12</v>
      </c>
      <c r="E11" s="33" t="s">
        <v>13</v>
      </c>
    </row>
    <row r="12" spans="2:6" ht="18.75" customHeight="1">
      <c r="B12" s="34"/>
      <c r="C12" s="35"/>
      <c r="D12" s="36"/>
      <c r="E12" s="37"/>
    </row>
    <row r="13" spans="2:6" ht="18.75" customHeight="1">
      <c r="B13" s="34"/>
      <c r="C13" s="38"/>
      <c r="D13" s="36"/>
      <c r="E13" s="37"/>
    </row>
    <row r="14" spans="2:6" ht="18.75" customHeight="1">
      <c r="B14" s="34"/>
      <c r="C14" s="38"/>
      <c r="D14" s="36"/>
      <c r="E14" s="37"/>
    </row>
    <row r="15" spans="2:6" ht="18.75" customHeight="1">
      <c r="B15" s="34"/>
      <c r="C15" s="38"/>
      <c r="D15" s="36"/>
      <c r="E15" s="37"/>
    </row>
    <row r="16" spans="2:6" ht="18.75" customHeight="1">
      <c r="B16" s="39"/>
      <c r="C16" s="38"/>
      <c r="D16" s="36"/>
      <c r="E16" s="37"/>
    </row>
    <row r="17" spans="2:5" ht="18.75" customHeight="1">
      <c r="B17" s="39"/>
      <c r="C17" s="38"/>
      <c r="D17" s="36"/>
      <c r="E17" s="40"/>
    </row>
    <row r="18" spans="2:5" ht="18.75" customHeight="1" thickBot="1">
      <c r="B18" s="41"/>
      <c r="C18" s="42"/>
      <c r="D18" s="42"/>
      <c r="E18" s="43"/>
    </row>
    <row r="19" spans="2:5" ht="18.75" customHeight="1">
      <c r="B19" s="1"/>
      <c r="C19" s="1"/>
    </row>
  </sheetData>
  <mergeCells count="8">
    <mergeCell ref="C9:E9"/>
    <mergeCell ref="B10:E10"/>
    <mergeCell ref="C1:E1"/>
    <mergeCell ref="B2:E2"/>
    <mergeCell ref="B5:E5"/>
    <mergeCell ref="C6:E6"/>
    <mergeCell ref="C7:E7"/>
    <mergeCell ref="C8:E8"/>
  </mergeCells>
  <pageMargins left="0.75" right="0.75" top="1" bottom="1" header="0.5" footer="0.5"/>
  <pageSetup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CE74-115B-4B62-AB9D-95DD91F42986}">
  <dimension ref="B1:E11"/>
  <sheetViews>
    <sheetView workbookViewId="0">
      <selection activeCell="D19" sqref="D19"/>
    </sheetView>
  </sheetViews>
  <sheetFormatPr defaultRowHeight="15.75" customHeight="1"/>
  <cols>
    <col min="1" max="1" width="1.42578125" style="7" customWidth="1"/>
    <col min="2" max="2" width="25" style="7" bestFit="1" customWidth="1"/>
    <col min="3" max="3" width="20" style="7" customWidth="1"/>
    <col min="4" max="4" width="19.5703125" style="7" customWidth="1"/>
    <col min="5" max="5" width="17.7109375" style="7" customWidth="1"/>
    <col min="6" max="16384" width="9.140625" style="7"/>
  </cols>
  <sheetData>
    <row r="1" spans="2:5" ht="15.75" customHeight="1" thickBot="1"/>
    <row r="2" spans="2:5" ht="24" thickBot="1">
      <c r="B2" s="128" t="s">
        <v>1</v>
      </c>
      <c r="C2" s="128"/>
      <c r="D2" s="128"/>
      <c r="E2" s="128"/>
    </row>
    <row r="3" spans="2:5" ht="15.75" customHeight="1" thickBot="1"/>
    <row r="4" spans="2:5" ht="15.75" customHeight="1">
      <c r="B4" s="129" t="s">
        <v>14</v>
      </c>
      <c r="C4" s="130"/>
      <c r="D4" s="130"/>
      <c r="E4" s="131"/>
    </row>
    <row r="5" spans="2:5" ht="15.75" customHeight="1">
      <c r="B5" s="44" t="s">
        <v>15</v>
      </c>
      <c r="C5" s="81" t="s">
        <v>16</v>
      </c>
      <c r="D5" s="82"/>
      <c r="E5" s="83"/>
    </row>
    <row r="6" spans="2:5" ht="15.75" customHeight="1">
      <c r="B6" s="44" t="s">
        <v>12</v>
      </c>
      <c r="C6" s="84" t="s">
        <v>17</v>
      </c>
      <c r="D6" s="85"/>
      <c r="E6" s="86"/>
    </row>
    <row r="7" spans="2:5" ht="15.75" customHeight="1">
      <c r="B7" s="44" t="s">
        <v>18</v>
      </c>
      <c r="C7" s="81" t="s">
        <v>19</v>
      </c>
      <c r="D7" s="82"/>
      <c r="E7" s="83"/>
    </row>
    <row r="8" spans="2:5" ht="15.75" customHeight="1">
      <c r="B8" s="44" t="s">
        <v>20</v>
      </c>
      <c r="C8" s="81" t="s">
        <v>21</v>
      </c>
      <c r="D8" s="82"/>
      <c r="E8" s="83"/>
    </row>
    <row r="9" spans="2:5" ht="15.75" customHeight="1">
      <c r="B9" s="80" t="s">
        <v>22</v>
      </c>
      <c r="C9" s="45" t="s">
        <v>23</v>
      </c>
      <c r="D9" s="45" t="s">
        <v>24</v>
      </c>
      <c r="E9" s="46" t="s">
        <v>25</v>
      </c>
    </row>
    <row r="10" spans="2:5" ht="15.75" customHeight="1">
      <c r="B10" s="80"/>
      <c r="C10" s="47"/>
      <c r="D10" s="47"/>
      <c r="E10" s="48"/>
    </row>
    <row r="11" spans="2:5" ht="15.75" customHeight="1" thickBot="1">
      <c r="B11" s="19" t="s">
        <v>26</v>
      </c>
      <c r="C11" s="20"/>
      <c r="D11" s="20"/>
      <c r="E11" s="21"/>
    </row>
  </sheetData>
  <mergeCells count="7">
    <mergeCell ref="B9:B10"/>
    <mergeCell ref="B4:E4"/>
    <mergeCell ref="B2:E2"/>
    <mergeCell ref="C5:E5"/>
    <mergeCell ref="C6:E6"/>
    <mergeCell ref="C7:E7"/>
    <mergeCell ref="C8: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B3D3-F670-48DE-9770-D5F0149B7BD1}">
  <dimension ref="B1:N30"/>
  <sheetViews>
    <sheetView topLeftCell="A3" workbookViewId="0">
      <selection activeCell="I16" sqref="G16:I16"/>
    </sheetView>
  </sheetViews>
  <sheetFormatPr defaultRowHeight="15.75" customHeight="1"/>
  <cols>
    <col min="1" max="1" width="2" style="8" customWidth="1"/>
    <col min="2" max="2" width="44.5703125" style="8" bestFit="1" customWidth="1"/>
    <col min="3" max="3" width="8.42578125" style="8" customWidth="1"/>
    <col min="4" max="4" width="8.7109375" style="8" customWidth="1"/>
    <col min="5" max="6" width="7.42578125" style="8" customWidth="1"/>
    <col min="7" max="7" width="9.42578125" style="8" customWidth="1"/>
    <col min="8" max="8" width="8.140625" style="8" customWidth="1"/>
    <col min="9" max="9" width="7.42578125" style="8" customWidth="1"/>
    <col min="10" max="12" width="8.42578125" style="8" customWidth="1"/>
    <col min="13" max="13" width="6.85546875" style="8" customWidth="1"/>
    <col min="14" max="14" width="35.140625" style="8" customWidth="1"/>
    <col min="15" max="16384" width="9.140625" style="8"/>
  </cols>
  <sheetData>
    <row r="1" spans="2:14" ht="15.75" customHeight="1" thickBot="1"/>
    <row r="2" spans="2:14" ht="29.25" customHeight="1" thickBot="1">
      <c r="B2" s="132" t="s">
        <v>1</v>
      </c>
      <c r="C2" s="132"/>
      <c r="D2" s="132"/>
      <c r="E2" s="132"/>
      <c r="F2" s="132"/>
      <c r="G2" s="132"/>
      <c r="H2" s="132"/>
      <c r="I2" s="132"/>
      <c r="J2" s="132"/>
      <c r="K2" s="132"/>
      <c r="L2" s="132"/>
      <c r="M2" s="132"/>
      <c r="N2" s="132"/>
    </row>
    <row r="3" spans="2:14" s="9" customFormat="1" ht="15.75" customHeight="1" thickBot="1"/>
    <row r="4" spans="2:14" s="9" customFormat="1" ht="15.75" customHeight="1">
      <c r="B4" s="133" t="s">
        <v>27</v>
      </c>
      <c r="C4" s="134"/>
      <c r="D4" s="134"/>
      <c r="E4" s="134"/>
      <c r="F4" s="134"/>
      <c r="G4" s="134"/>
      <c r="H4" s="134"/>
      <c r="I4" s="135"/>
    </row>
    <row r="5" spans="2:14" s="9" customFormat="1" ht="15.75" customHeight="1">
      <c r="B5" s="49" t="s">
        <v>28</v>
      </c>
      <c r="C5" s="98" t="s">
        <v>29</v>
      </c>
      <c r="D5" s="98"/>
      <c r="E5" s="98"/>
      <c r="F5" s="98"/>
      <c r="G5" s="98"/>
      <c r="H5" s="98"/>
      <c r="I5" s="99"/>
    </row>
    <row r="6" spans="2:14" s="9" customFormat="1" ht="15.75" customHeight="1" thickBot="1">
      <c r="B6" s="22" t="s">
        <v>30</v>
      </c>
      <c r="C6" s="100">
        <v>3</v>
      </c>
      <c r="D6" s="100"/>
      <c r="E6" s="100"/>
      <c r="F6" s="100"/>
      <c r="G6" s="100"/>
      <c r="H6" s="100"/>
      <c r="I6" s="101"/>
    </row>
    <row r="7" spans="2:14" s="9" customFormat="1" ht="8.25" customHeight="1" thickBot="1"/>
    <row r="8" spans="2:14" s="9" customFormat="1" ht="15.75" customHeight="1">
      <c r="B8" s="136" t="s">
        <v>31</v>
      </c>
      <c r="C8" s="137"/>
      <c r="D8" s="137"/>
      <c r="E8" s="137"/>
      <c r="F8" s="137"/>
      <c r="G8" s="137"/>
      <c r="H8" s="137"/>
      <c r="I8" s="138"/>
    </row>
    <row r="9" spans="2:14" s="9" customFormat="1" ht="15.75" customHeight="1">
      <c r="B9" s="15" t="s">
        <v>32</v>
      </c>
      <c r="C9" s="87">
        <f>G12+C13+C14</f>
        <v>52</v>
      </c>
      <c r="D9" s="87"/>
      <c r="E9" s="87"/>
      <c r="F9" s="87"/>
      <c r="G9" s="87"/>
      <c r="H9" s="87"/>
      <c r="I9" s="88"/>
    </row>
    <row r="10" spans="2:14" s="9" customFormat="1" ht="15.75" customHeight="1">
      <c r="B10" s="102" t="s">
        <v>33</v>
      </c>
      <c r="C10" s="105" t="s">
        <v>34</v>
      </c>
      <c r="D10" s="105"/>
      <c r="E10" s="105"/>
      <c r="F10" s="105"/>
      <c r="G10" s="103">
        <f>SUM(E34,D21:D30)</f>
        <v>52</v>
      </c>
      <c r="H10" s="103"/>
      <c r="I10" s="104"/>
    </row>
    <row r="11" spans="2:14" s="9" customFormat="1" ht="15.75" customHeight="1">
      <c r="B11" s="102"/>
      <c r="C11" s="108" t="s">
        <v>35</v>
      </c>
      <c r="D11" s="108"/>
      <c r="E11" s="108"/>
      <c r="F11" s="108"/>
      <c r="G11" s="106">
        <f>'Data Range'!E3</f>
        <v>0</v>
      </c>
      <c r="H11" s="106"/>
      <c r="I11" s="107"/>
    </row>
    <row r="12" spans="2:14" s="9" customFormat="1" ht="30" customHeight="1">
      <c r="B12" s="102"/>
      <c r="C12" s="105" t="s">
        <v>36</v>
      </c>
      <c r="D12" s="105"/>
      <c r="E12" s="105"/>
      <c r="F12" s="105"/>
      <c r="G12" s="103">
        <f>SUM('1. Summary Report'!G10:I11)</f>
        <v>52</v>
      </c>
      <c r="H12" s="103"/>
      <c r="I12" s="104"/>
    </row>
    <row r="13" spans="2:14" s="9" customFormat="1" ht="15.75" customHeight="1">
      <c r="B13" s="52" t="s">
        <v>37</v>
      </c>
      <c r="C13" s="112">
        <f>'Data Range'!E4</f>
        <v>0</v>
      </c>
      <c r="D13" s="112"/>
      <c r="E13" s="112"/>
      <c r="F13" s="112"/>
      <c r="G13" s="112"/>
      <c r="H13" s="112"/>
      <c r="I13" s="113"/>
    </row>
    <row r="14" spans="2:14" s="9" customFormat="1" ht="15.75" customHeight="1">
      <c r="B14" s="52" t="s">
        <v>38</v>
      </c>
      <c r="C14" s="114">
        <f>'Data Range'!E5</f>
        <v>0</v>
      </c>
      <c r="D14" s="114"/>
      <c r="E14" s="114"/>
      <c r="F14" s="114"/>
      <c r="G14" s="114"/>
      <c r="H14" s="114"/>
      <c r="I14" s="115"/>
    </row>
    <row r="15" spans="2:14" s="9" customFormat="1" ht="15.75" customHeight="1">
      <c r="B15" s="110" t="s">
        <v>39</v>
      </c>
      <c r="C15" s="53" t="s">
        <v>40</v>
      </c>
      <c r="D15" s="51"/>
      <c r="E15" s="53" t="s">
        <v>41</v>
      </c>
      <c r="F15" s="51">
        <v>3</v>
      </c>
      <c r="G15" s="109" t="s">
        <v>42</v>
      </c>
      <c r="H15" s="109"/>
      <c r="I15" s="50">
        <v>1</v>
      </c>
    </row>
    <row r="16" spans="2:14" s="9" customFormat="1" ht="27" customHeight="1" thickBot="1">
      <c r="B16" s="111"/>
      <c r="C16" s="97" t="s">
        <v>43</v>
      </c>
      <c r="D16" s="97"/>
      <c r="E16" s="97"/>
      <c r="F16" s="97"/>
      <c r="G16" s="95">
        <f>D15+F15+I15</f>
        <v>4</v>
      </c>
      <c r="H16" s="95"/>
      <c r="I16" s="96"/>
    </row>
    <row r="17" spans="2:14" s="9" customFormat="1" ht="8.25" customHeight="1">
      <c r="C17" s="10"/>
      <c r="D17" s="11"/>
      <c r="E17" s="10"/>
      <c r="F17" s="12"/>
      <c r="G17" s="10"/>
      <c r="H17" s="12"/>
    </row>
    <row r="18" spans="2:14" s="9" customFormat="1" ht="15.75" customHeight="1">
      <c r="B18" s="89" t="s">
        <v>44</v>
      </c>
      <c r="C18" s="89" t="s">
        <v>45</v>
      </c>
      <c r="D18" s="89" t="s">
        <v>46</v>
      </c>
      <c r="E18" s="93" t="s">
        <v>47</v>
      </c>
      <c r="F18" s="93"/>
      <c r="G18" s="93"/>
      <c r="H18" s="93"/>
      <c r="I18" s="94"/>
      <c r="J18" s="92" t="s">
        <v>48</v>
      </c>
      <c r="K18" s="93"/>
      <c r="L18" s="93"/>
      <c r="M18" s="94"/>
      <c r="N18" s="89" t="s">
        <v>49</v>
      </c>
    </row>
    <row r="19" spans="2:14" s="9" customFormat="1" ht="15.75" customHeight="1">
      <c r="B19" s="90"/>
      <c r="C19" s="90"/>
      <c r="D19" s="90"/>
      <c r="E19" s="93" t="s">
        <v>50</v>
      </c>
      <c r="F19" s="93"/>
      <c r="G19" s="93"/>
      <c r="H19" s="94"/>
      <c r="I19" s="89" t="s">
        <v>51</v>
      </c>
      <c r="J19" s="116" t="s">
        <v>52</v>
      </c>
      <c r="K19" s="116" t="s">
        <v>53</v>
      </c>
      <c r="L19" s="89" t="s">
        <v>54</v>
      </c>
      <c r="M19" s="89" t="s">
        <v>55</v>
      </c>
      <c r="N19" s="90"/>
    </row>
    <row r="20" spans="2:14" s="9" customFormat="1" ht="26.25" customHeight="1">
      <c r="B20" s="91"/>
      <c r="C20" s="91"/>
      <c r="D20" s="91"/>
      <c r="E20" s="14" t="s">
        <v>34</v>
      </c>
      <c r="F20" s="14" t="s">
        <v>35</v>
      </c>
      <c r="G20" s="14" t="s">
        <v>37</v>
      </c>
      <c r="H20" s="14" t="s">
        <v>38</v>
      </c>
      <c r="I20" s="91"/>
      <c r="J20" s="116"/>
      <c r="K20" s="116"/>
      <c r="L20" s="91"/>
      <c r="M20" s="91"/>
      <c r="N20" s="91"/>
    </row>
    <row r="21" spans="2:14" s="9" customFormat="1" ht="15.75" customHeight="1">
      <c r="B21" s="54" t="s">
        <v>56</v>
      </c>
      <c r="C21" s="54" t="s">
        <v>41</v>
      </c>
      <c r="D21" s="54">
        <v>19</v>
      </c>
      <c r="E21" s="54">
        <v>19</v>
      </c>
      <c r="F21" s="54">
        <v>0</v>
      </c>
      <c r="G21" s="54">
        <v>0</v>
      </c>
      <c r="H21" s="54">
        <v>0</v>
      </c>
      <c r="I21" s="55">
        <f>IFERROR(F21/D21,0)</f>
        <v>0</v>
      </c>
      <c r="J21" s="54">
        <v>4</v>
      </c>
      <c r="K21" s="56"/>
      <c r="L21" s="54"/>
      <c r="M21" s="55">
        <f>IFERROR(L21/J21,0)</f>
        <v>0</v>
      </c>
      <c r="N21" s="54"/>
    </row>
    <row r="22" spans="2:14" s="9" customFormat="1" ht="15.75" customHeight="1">
      <c r="B22" s="54" t="s">
        <v>57</v>
      </c>
      <c r="C22" s="54" t="s">
        <v>42</v>
      </c>
      <c r="D22" s="54">
        <v>13</v>
      </c>
      <c r="E22" s="54">
        <v>13</v>
      </c>
      <c r="F22" s="54">
        <v>0</v>
      </c>
      <c r="G22" s="54">
        <v>0</v>
      </c>
      <c r="H22" s="54">
        <v>0</v>
      </c>
      <c r="I22" s="55">
        <f t="shared" ref="I22:I30" si="0">IFERROR(F22/D22,0)</f>
        <v>0</v>
      </c>
      <c r="J22" s="57">
        <v>1</v>
      </c>
      <c r="K22" s="57"/>
      <c r="L22" s="54"/>
      <c r="M22" s="55">
        <f t="shared" ref="M22:M30" si="1">IFERROR(L22/J22,0)</f>
        <v>0</v>
      </c>
      <c r="N22" s="54"/>
    </row>
    <row r="23" spans="2:14" s="9" customFormat="1" ht="15.75" customHeight="1">
      <c r="B23" s="54" t="s">
        <v>58</v>
      </c>
      <c r="C23" s="54" t="s">
        <v>59</v>
      </c>
      <c r="D23" s="54">
        <v>9</v>
      </c>
      <c r="E23" s="54">
        <v>9</v>
      </c>
      <c r="F23" s="54">
        <v>0</v>
      </c>
      <c r="G23" s="54">
        <v>0</v>
      </c>
      <c r="H23" s="54">
        <v>0</v>
      </c>
      <c r="I23" s="55">
        <f t="shared" si="0"/>
        <v>0</v>
      </c>
      <c r="J23" s="57">
        <v>0</v>
      </c>
      <c r="K23" s="57"/>
      <c r="L23" s="54"/>
      <c r="M23" s="55">
        <f t="shared" si="1"/>
        <v>0</v>
      </c>
      <c r="N23" s="54"/>
    </row>
    <row r="24" spans="2:14" s="9" customFormat="1" ht="33.75" customHeight="1">
      <c r="B24" s="54" t="s">
        <v>60</v>
      </c>
      <c r="C24" s="54" t="s">
        <v>41</v>
      </c>
      <c r="D24" s="54">
        <v>3</v>
      </c>
      <c r="E24" s="54">
        <v>3</v>
      </c>
      <c r="F24" s="54">
        <v>0</v>
      </c>
      <c r="G24" s="54">
        <v>0</v>
      </c>
      <c r="H24" s="54">
        <v>0</v>
      </c>
      <c r="I24" s="55">
        <f t="shared" si="0"/>
        <v>0</v>
      </c>
      <c r="J24" s="57">
        <v>0</v>
      </c>
      <c r="K24" s="57"/>
      <c r="L24" s="54"/>
      <c r="M24" s="55">
        <f t="shared" si="1"/>
        <v>0</v>
      </c>
      <c r="N24" s="54"/>
    </row>
    <row r="25" spans="2:14" s="9" customFormat="1" ht="31.5" customHeight="1">
      <c r="B25" s="54" t="s">
        <v>61</v>
      </c>
      <c r="C25" s="54" t="s">
        <v>41</v>
      </c>
      <c r="D25" s="54">
        <v>1</v>
      </c>
      <c r="E25" s="54">
        <v>1</v>
      </c>
      <c r="F25" s="54">
        <v>0</v>
      </c>
      <c r="G25" s="54">
        <v>0</v>
      </c>
      <c r="H25" s="54">
        <v>0</v>
      </c>
      <c r="I25" s="55">
        <f t="shared" si="0"/>
        <v>0</v>
      </c>
      <c r="J25" s="57">
        <v>0</v>
      </c>
      <c r="K25" s="57"/>
      <c r="L25" s="54"/>
      <c r="M25" s="55">
        <f t="shared" si="1"/>
        <v>0</v>
      </c>
      <c r="N25" s="54"/>
    </row>
    <row r="26" spans="2:14" ht="31.5" customHeight="1">
      <c r="B26" s="58" t="s">
        <v>62</v>
      </c>
      <c r="C26" s="54" t="s">
        <v>41</v>
      </c>
      <c r="D26" s="54">
        <v>1</v>
      </c>
      <c r="E26" s="58">
        <v>1</v>
      </c>
      <c r="F26" s="58">
        <v>0</v>
      </c>
      <c r="G26" s="58">
        <v>0</v>
      </c>
      <c r="H26" s="54">
        <v>0</v>
      </c>
      <c r="I26" s="55">
        <f t="shared" si="0"/>
        <v>0</v>
      </c>
      <c r="J26" s="57">
        <v>0</v>
      </c>
      <c r="K26" s="57"/>
      <c r="L26" s="58"/>
      <c r="M26" s="55">
        <f t="shared" si="1"/>
        <v>0</v>
      </c>
      <c r="N26" s="54"/>
    </row>
    <row r="27" spans="2:14" ht="31.5" customHeight="1">
      <c r="B27" s="58" t="s">
        <v>63</v>
      </c>
      <c r="C27" s="54" t="s">
        <v>42</v>
      </c>
      <c r="D27" s="54">
        <v>1</v>
      </c>
      <c r="E27" s="58">
        <v>1</v>
      </c>
      <c r="F27" s="58">
        <v>0</v>
      </c>
      <c r="G27" s="58">
        <v>0</v>
      </c>
      <c r="H27" s="54">
        <v>0</v>
      </c>
      <c r="I27" s="55">
        <f t="shared" si="0"/>
        <v>0</v>
      </c>
      <c r="J27" s="57">
        <v>0</v>
      </c>
      <c r="K27" s="57"/>
      <c r="L27" s="58"/>
      <c r="M27" s="55">
        <f t="shared" si="1"/>
        <v>0</v>
      </c>
      <c r="N27" s="54"/>
    </row>
    <row r="28" spans="2:14" ht="31.5" customHeight="1">
      <c r="B28" s="58" t="s">
        <v>64</v>
      </c>
      <c r="C28" s="54" t="s">
        <v>59</v>
      </c>
      <c r="D28" s="54">
        <v>1</v>
      </c>
      <c r="E28" s="58">
        <v>1</v>
      </c>
      <c r="F28" s="58">
        <v>0</v>
      </c>
      <c r="G28" s="58">
        <v>0</v>
      </c>
      <c r="H28" s="54">
        <v>0</v>
      </c>
      <c r="I28" s="55">
        <f t="shared" si="0"/>
        <v>0</v>
      </c>
      <c r="J28" s="57">
        <v>0</v>
      </c>
      <c r="K28" s="57"/>
      <c r="L28" s="58"/>
      <c r="M28" s="55">
        <f t="shared" si="1"/>
        <v>0</v>
      </c>
      <c r="N28" s="54"/>
    </row>
    <row r="29" spans="2:14" ht="31.5" customHeight="1">
      <c r="B29" s="58" t="s">
        <v>65</v>
      </c>
      <c r="C29" s="54" t="s">
        <v>41</v>
      </c>
      <c r="D29" s="54">
        <v>1</v>
      </c>
      <c r="E29" s="58">
        <v>1</v>
      </c>
      <c r="F29" s="58">
        <v>0</v>
      </c>
      <c r="G29" s="58">
        <v>0</v>
      </c>
      <c r="H29" s="54">
        <v>0</v>
      </c>
      <c r="I29" s="55">
        <f t="shared" si="0"/>
        <v>0</v>
      </c>
      <c r="J29" s="57">
        <v>0</v>
      </c>
      <c r="K29" s="58"/>
      <c r="L29" s="58"/>
      <c r="M29" s="55">
        <f t="shared" si="1"/>
        <v>0</v>
      </c>
      <c r="N29" s="54"/>
    </row>
    <row r="30" spans="2:14" ht="31.5" customHeight="1">
      <c r="B30" s="58" t="s">
        <v>66</v>
      </c>
      <c r="C30" s="54" t="s">
        <v>42</v>
      </c>
      <c r="D30" s="54">
        <v>3</v>
      </c>
      <c r="E30" s="58">
        <v>3</v>
      </c>
      <c r="F30" s="58">
        <v>0</v>
      </c>
      <c r="G30" s="58">
        <v>0</v>
      </c>
      <c r="H30" s="54">
        <v>0</v>
      </c>
      <c r="I30" s="55">
        <f t="shared" si="0"/>
        <v>0</v>
      </c>
      <c r="J30" s="57">
        <v>0</v>
      </c>
      <c r="K30" s="58"/>
      <c r="L30" s="58"/>
      <c r="M30" s="55">
        <f t="shared" si="1"/>
        <v>0</v>
      </c>
      <c r="N30" s="54"/>
    </row>
  </sheetData>
  <mergeCells count="31">
    <mergeCell ref="K19:K20"/>
    <mergeCell ref="L19:L20"/>
    <mergeCell ref="N18:N20"/>
    <mergeCell ref="E18:I18"/>
    <mergeCell ref="E19:H19"/>
    <mergeCell ref="G15:H15"/>
    <mergeCell ref="B15:B16"/>
    <mergeCell ref="C13:I13"/>
    <mergeCell ref="C14:I14"/>
    <mergeCell ref="J19:J20"/>
    <mergeCell ref="C10:F10"/>
    <mergeCell ref="G11:I11"/>
    <mergeCell ref="C11:F11"/>
    <mergeCell ref="G12:I12"/>
    <mergeCell ref="C12:F12"/>
    <mergeCell ref="B2:N2"/>
    <mergeCell ref="C9:I9"/>
    <mergeCell ref="C18:C20"/>
    <mergeCell ref="B18:B20"/>
    <mergeCell ref="J18:M18"/>
    <mergeCell ref="M19:M20"/>
    <mergeCell ref="B4:I4"/>
    <mergeCell ref="G16:I16"/>
    <mergeCell ref="C16:F16"/>
    <mergeCell ref="B8:I8"/>
    <mergeCell ref="C5:I5"/>
    <mergeCell ref="C6:I6"/>
    <mergeCell ref="D18:D20"/>
    <mergeCell ref="I19:I20"/>
    <mergeCell ref="B10:B12"/>
    <mergeCell ref="G10:I10"/>
  </mergeCell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91F6CFF1-01BF-4A7E-803D-34D609584650}">
          <x14:formula1>
            <xm:f>'Data Range'!$B$7:$B$9</xm:f>
          </x14:formula1>
          <xm:sqref>C21:C30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5973-D943-4B75-981E-0D28449446EB}">
  <dimension ref="B1:P26"/>
  <sheetViews>
    <sheetView workbookViewId="0">
      <selection activeCell="J8" sqref="J8"/>
    </sheetView>
  </sheetViews>
  <sheetFormatPr defaultRowHeight="15.75" customHeight="1"/>
  <cols>
    <col min="1" max="1" width="3.140625" style="17" customWidth="1"/>
    <col min="2" max="2" width="4" style="17" bestFit="1" customWidth="1"/>
    <col min="3" max="3" width="20.85546875" style="17" customWidth="1"/>
    <col min="4" max="4" width="9.85546875" style="17" customWidth="1"/>
    <col min="5" max="5" width="35.5703125" style="17" customWidth="1"/>
    <col min="6" max="6" width="34.28515625" style="17" customWidth="1"/>
    <col min="7" max="7" width="10.5703125" style="17" customWidth="1"/>
    <col min="8" max="8" width="40.28515625" style="17" customWidth="1"/>
    <col min="9" max="10" width="15.85546875" style="17" customWidth="1"/>
    <col min="11" max="11" width="7.5703125" style="17" bestFit="1" customWidth="1"/>
    <col min="12" max="12" width="8.42578125" style="17" bestFit="1" customWidth="1"/>
    <col min="13" max="13" width="6.5703125" style="17" bestFit="1" customWidth="1"/>
    <col min="14" max="14" width="11.85546875" style="17" bestFit="1" customWidth="1"/>
    <col min="15" max="15" width="11.85546875" style="17" customWidth="1"/>
    <col min="16" max="16" width="9.85546875" style="17" bestFit="1" customWidth="1"/>
    <col min="17" max="16384" width="9.140625" style="17"/>
  </cols>
  <sheetData>
    <row r="1" spans="2:16" ht="9" customHeight="1" thickBot="1"/>
    <row r="2" spans="2:16" ht="24" thickBot="1">
      <c r="B2" s="128" t="s">
        <v>67</v>
      </c>
      <c r="C2" s="128"/>
      <c r="D2" s="128"/>
      <c r="E2" s="128"/>
      <c r="F2" s="128"/>
      <c r="G2" s="128"/>
      <c r="H2" s="128"/>
      <c r="I2" s="128"/>
      <c r="J2" s="128"/>
      <c r="K2" s="128"/>
      <c r="L2" s="128"/>
      <c r="M2" s="128"/>
      <c r="N2" s="128"/>
      <c r="O2" s="128"/>
      <c r="P2" s="128"/>
    </row>
    <row r="3" spans="2:16" ht="15.75" customHeight="1" thickBot="1"/>
    <row r="4" spans="2:16" ht="36">
      <c r="B4" s="139" t="s">
        <v>68</v>
      </c>
      <c r="C4" s="140" t="s">
        <v>44</v>
      </c>
      <c r="D4" s="141" t="s">
        <v>69</v>
      </c>
      <c r="E4" s="141" t="s">
        <v>70</v>
      </c>
      <c r="F4" s="141" t="s">
        <v>71</v>
      </c>
      <c r="G4" s="142" t="s">
        <v>72</v>
      </c>
      <c r="H4" s="143"/>
      <c r="I4" s="140" t="s">
        <v>73</v>
      </c>
      <c r="J4" s="140" t="s">
        <v>74</v>
      </c>
      <c r="K4" s="141" t="s">
        <v>45</v>
      </c>
      <c r="L4" s="141" t="s">
        <v>75</v>
      </c>
      <c r="M4" s="141" t="s">
        <v>50</v>
      </c>
      <c r="N4" s="144" t="s">
        <v>76</v>
      </c>
      <c r="O4" s="144" t="s">
        <v>77</v>
      </c>
      <c r="P4" s="145" t="s">
        <v>78</v>
      </c>
    </row>
    <row r="5" spans="2:16" ht="123" customHeight="1">
      <c r="B5" s="146">
        <v>1</v>
      </c>
      <c r="C5" s="147" t="s">
        <v>56</v>
      </c>
      <c r="D5" s="26" t="s">
        <v>79</v>
      </c>
      <c r="E5" s="26" t="s">
        <v>80</v>
      </c>
      <c r="F5" s="28" t="s">
        <v>81</v>
      </c>
      <c r="G5" s="148"/>
      <c r="H5" s="149"/>
      <c r="I5" s="26" t="s">
        <v>82</v>
      </c>
      <c r="J5" s="26" t="s">
        <v>83</v>
      </c>
      <c r="K5" s="18" t="s">
        <v>41</v>
      </c>
      <c r="L5" s="18" t="s">
        <v>41</v>
      </c>
      <c r="M5" s="18" t="s">
        <v>84</v>
      </c>
      <c r="N5" s="27"/>
      <c r="O5" s="27"/>
      <c r="P5" s="71">
        <v>1.1000000000000001</v>
      </c>
    </row>
    <row r="6" spans="2:16" ht="106.5" customHeight="1">
      <c r="B6" s="119"/>
      <c r="C6" s="121"/>
      <c r="D6" s="54" t="s">
        <v>85</v>
      </c>
      <c r="E6" s="54" t="s">
        <v>86</v>
      </c>
      <c r="F6" s="10" t="s">
        <v>87</v>
      </c>
      <c r="G6" s="123"/>
      <c r="H6" s="124"/>
      <c r="I6" s="26" t="s">
        <v>88</v>
      </c>
      <c r="J6" s="26" t="s">
        <v>89</v>
      </c>
      <c r="K6" s="18" t="s">
        <v>42</v>
      </c>
      <c r="L6" s="18" t="s">
        <v>42</v>
      </c>
      <c r="M6" s="73" t="s">
        <v>84</v>
      </c>
      <c r="N6" s="59"/>
      <c r="O6" s="59"/>
      <c r="P6" s="62">
        <v>1.1000000000000001</v>
      </c>
    </row>
    <row r="7" spans="2:16" ht="137.25" customHeight="1">
      <c r="B7" s="120"/>
      <c r="C7" s="122"/>
      <c r="D7" s="54" t="s">
        <v>90</v>
      </c>
      <c r="E7" s="54" t="s">
        <v>91</v>
      </c>
      <c r="F7" s="54" t="s">
        <v>92</v>
      </c>
      <c r="G7" s="123"/>
      <c r="H7" s="124"/>
      <c r="I7" s="26" t="s">
        <v>93</v>
      </c>
      <c r="J7" s="74" t="s">
        <v>94</v>
      </c>
      <c r="K7" s="18" t="s">
        <v>41</v>
      </c>
      <c r="L7" s="18" t="s">
        <v>41</v>
      </c>
      <c r="M7" s="73" t="s">
        <v>84</v>
      </c>
      <c r="N7" s="59"/>
      <c r="O7" s="59"/>
      <c r="P7" s="72">
        <v>1.1000000000000001</v>
      </c>
    </row>
    <row r="8" spans="2:16" ht="143.25" customHeight="1">
      <c r="B8" s="63">
        <v>2</v>
      </c>
      <c r="C8" s="60" t="s">
        <v>95</v>
      </c>
      <c r="D8" s="61" t="s">
        <v>96</v>
      </c>
      <c r="E8" s="54" t="s">
        <v>97</v>
      </c>
      <c r="F8" s="68" t="s">
        <v>98</v>
      </c>
      <c r="G8" s="117"/>
      <c r="H8" s="118"/>
      <c r="I8" s="74" t="s">
        <v>99</v>
      </c>
      <c r="J8" s="26" t="s">
        <v>100</v>
      </c>
      <c r="K8" s="18" t="s">
        <v>41</v>
      </c>
      <c r="L8" s="18" t="s">
        <v>41</v>
      </c>
      <c r="M8" s="73" t="s">
        <v>84</v>
      </c>
      <c r="N8" s="59"/>
      <c r="O8" s="59"/>
      <c r="P8" s="62">
        <v>1.1000000000000001</v>
      </c>
    </row>
    <row r="9" spans="2:16" ht="15.75" customHeight="1">
      <c r="B9" s="63"/>
      <c r="C9" s="60"/>
      <c r="D9" s="61"/>
      <c r="E9" s="61"/>
      <c r="F9" s="61"/>
      <c r="G9" s="18"/>
      <c r="H9" s="18"/>
      <c r="I9" s="18"/>
      <c r="J9" s="18"/>
      <c r="K9" s="18"/>
      <c r="L9" s="18"/>
      <c r="M9" s="61"/>
      <c r="N9" s="59"/>
      <c r="O9" s="59"/>
      <c r="P9" s="62"/>
    </row>
    <row r="10" spans="2:16" ht="15.75" customHeight="1">
      <c r="B10" s="63"/>
      <c r="C10" s="60"/>
      <c r="D10" s="61"/>
      <c r="E10" s="61"/>
      <c r="F10" s="61"/>
      <c r="G10" s="18"/>
      <c r="H10" s="18"/>
      <c r="I10" s="18"/>
      <c r="J10" s="18"/>
      <c r="K10" s="18"/>
      <c r="L10" s="18"/>
      <c r="M10" s="61"/>
      <c r="N10" s="59"/>
      <c r="O10" s="59"/>
      <c r="P10" s="62"/>
    </row>
    <row r="11" spans="2:16" ht="15.75" customHeight="1">
      <c r="B11" s="63"/>
      <c r="C11" s="60"/>
      <c r="D11" s="61"/>
      <c r="E11" s="61"/>
      <c r="F11" s="61"/>
      <c r="G11" s="18"/>
      <c r="H11" s="18"/>
      <c r="I11" s="18"/>
      <c r="J11" s="18"/>
      <c r="K11" s="18"/>
      <c r="L11" s="18"/>
      <c r="M11" s="61"/>
      <c r="N11" s="59"/>
      <c r="O11" s="59"/>
      <c r="P11" s="62"/>
    </row>
    <row r="12" spans="2:16" ht="15.75" customHeight="1">
      <c r="B12" s="63"/>
      <c r="C12" s="60"/>
      <c r="D12" s="61"/>
      <c r="E12" s="61"/>
      <c r="F12" s="61"/>
      <c r="G12" s="18"/>
      <c r="H12" s="18"/>
      <c r="I12" s="18"/>
      <c r="J12" s="18"/>
      <c r="K12" s="18"/>
      <c r="L12" s="18"/>
      <c r="M12" s="61"/>
      <c r="N12" s="59"/>
      <c r="O12" s="59"/>
      <c r="P12" s="62"/>
    </row>
    <row r="13" spans="2:16" ht="15.75" customHeight="1">
      <c r="B13" s="63"/>
      <c r="C13" s="60"/>
      <c r="D13" s="61"/>
      <c r="E13" s="61"/>
      <c r="F13" s="61"/>
      <c r="G13" s="18"/>
      <c r="H13" s="18"/>
      <c r="I13" s="18"/>
      <c r="J13" s="18"/>
      <c r="K13" s="18"/>
      <c r="L13" s="18"/>
      <c r="M13" s="61"/>
      <c r="N13" s="59"/>
      <c r="O13" s="59"/>
      <c r="P13" s="62"/>
    </row>
    <row r="14" spans="2:16" ht="15.75" customHeight="1">
      <c r="B14" s="63"/>
      <c r="C14" s="60"/>
      <c r="D14" s="61"/>
      <c r="E14" s="61"/>
      <c r="F14" s="61"/>
      <c r="G14" s="18"/>
      <c r="H14" s="18"/>
      <c r="I14" s="18"/>
      <c r="J14" s="18"/>
      <c r="K14" s="18"/>
      <c r="L14" s="18"/>
      <c r="M14" s="61"/>
      <c r="N14" s="59"/>
      <c r="O14" s="59"/>
      <c r="P14" s="62"/>
    </row>
    <row r="15" spans="2:16" ht="15.75" customHeight="1">
      <c r="B15" s="63"/>
      <c r="C15" s="60"/>
      <c r="D15" s="61"/>
      <c r="E15" s="61"/>
      <c r="F15" s="61"/>
      <c r="G15" s="18"/>
      <c r="H15" s="18"/>
      <c r="I15" s="18"/>
      <c r="J15" s="18"/>
      <c r="K15" s="18"/>
      <c r="L15" s="18"/>
      <c r="M15" s="61"/>
      <c r="N15" s="59"/>
      <c r="O15" s="59"/>
      <c r="P15" s="62"/>
    </row>
    <row r="16" spans="2:16" ht="15.75" customHeight="1">
      <c r="B16" s="63"/>
      <c r="C16" s="60"/>
      <c r="D16" s="61"/>
      <c r="E16" s="61"/>
      <c r="F16" s="61"/>
      <c r="G16" s="18"/>
      <c r="H16" s="18"/>
      <c r="I16" s="18"/>
      <c r="J16" s="18"/>
      <c r="K16" s="18"/>
      <c r="L16" s="18"/>
      <c r="M16" s="61"/>
      <c r="N16" s="59"/>
      <c r="O16" s="59"/>
      <c r="P16" s="62"/>
    </row>
    <row r="17" spans="2:16" ht="15.75" customHeight="1">
      <c r="B17" s="63"/>
      <c r="C17" s="60"/>
      <c r="D17" s="61"/>
      <c r="E17" s="61"/>
      <c r="F17" s="61"/>
      <c r="G17" s="18"/>
      <c r="H17" s="18"/>
      <c r="I17" s="18"/>
      <c r="J17" s="18"/>
      <c r="K17" s="18"/>
      <c r="L17" s="18"/>
      <c r="M17" s="61"/>
      <c r="N17" s="59"/>
      <c r="O17" s="59"/>
      <c r="P17" s="62"/>
    </row>
    <row r="18" spans="2:16" ht="15.75" customHeight="1">
      <c r="B18" s="63"/>
      <c r="C18" s="60"/>
      <c r="D18" s="61"/>
      <c r="E18" s="61"/>
      <c r="F18" s="61"/>
      <c r="G18" s="18"/>
      <c r="H18" s="18"/>
      <c r="I18" s="18"/>
      <c r="J18" s="18"/>
      <c r="K18" s="18"/>
      <c r="L18" s="18"/>
      <c r="M18" s="61"/>
      <c r="N18" s="59"/>
      <c r="O18" s="59"/>
      <c r="P18" s="62"/>
    </row>
    <row r="19" spans="2:16" ht="15.75" customHeight="1">
      <c r="B19" s="63"/>
      <c r="C19" s="60"/>
      <c r="D19" s="61"/>
      <c r="E19" s="61"/>
      <c r="F19" s="61"/>
      <c r="G19" s="18"/>
      <c r="H19" s="18"/>
      <c r="I19" s="18"/>
      <c r="J19" s="18"/>
      <c r="K19" s="18"/>
      <c r="L19" s="18"/>
      <c r="M19" s="61"/>
      <c r="N19" s="59"/>
      <c r="O19" s="59"/>
      <c r="P19" s="62"/>
    </row>
    <row r="20" spans="2:16" ht="15.75" customHeight="1">
      <c r="B20" s="63"/>
      <c r="C20" s="60"/>
      <c r="D20" s="61"/>
      <c r="E20" s="61"/>
      <c r="F20" s="61"/>
      <c r="G20" s="18"/>
      <c r="H20" s="18"/>
      <c r="I20" s="18"/>
      <c r="J20" s="18"/>
      <c r="K20" s="18"/>
      <c r="L20" s="18"/>
      <c r="M20" s="61"/>
      <c r="N20" s="59"/>
      <c r="O20" s="59"/>
      <c r="P20" s="62"/>
    </row>
    <row r="21" spans="2:16" ht="15.75" customHeight="1">
      <c r="B21" s="63"/>
      <c r="C21" s="60"/>
      <c r="D21" s="61"/>
      <c r="E21" s="61"/>
      <c r="F21" s="61"/>
      <c r="G21" s="18"/>
      <c r="H21" s="18"/>
      <c r="I21" s="18"/>
      <c r="J21" s="18"/>
      <c r="K21" s="18"/>
      <c r="L21" s="18"/>
      <c r="M21" s="61"/>
      <c r="N21" s="59"/>
      <c r="O21" s="59"/>
      <c r="P21" s="62"/>
    </row>
    <row r="22" spans="2:16" ht="15.75" customHeight="1">
      <c r="B22" s="63"/>
      <c r="C22" s="60"/>
      <c r="D22" s="61"/>
      <c r="E22" s="61"/>
      <c r="F22" s="61"/>
      <c r="G22" s="18"/>
      <c r="H22" s="18"/>
      <c r="I22" s="18"/>
      <c r="J22" s="18"/>
      <c r="K22" s="18"/>
      <c r="L22" s="18"/>
      <c r="M22" s="61"/>
      <c r="N22" s="59"/>
      <c r="O22" s="59"/>
      <c r="P22" s="62"/>
    </row>
    <row r="23" spans="2:16" ht="15.75" customHeight="1">
      <c r="B23" s="63"/>
      <c r="C23" s="60"/>
      <c r="D23" s="61"/>
      <c r="E23" s="61"/>
      <c r="F23" s="61"/>
      <c r="G23" s="18"/>
      <c r="H23" s="18"/>
      <c r="I23" s="18"/>
      <c r="J23" s="18"/>
      <c r="K23" s="18"/>
      <c r="L23" s="18"/>
      <c r="M23" s="61"/>
      <c r="N23" s="59"/>
      <c r="O23" s="59"/>
      <c r="P23" s="62"/>
    </row>
    <row r="24" spans="2:16" ht="15.75" customHeight="1">
      <c r="B24" s="63"/>
      <c r="C24" s="60"/>
      <c r="D24" s="61"/>
      <c r="E24" s="61"/>
      <c r="F24" s="61"/>
      <c r="G24" s="18"/>
      <c r="H24" s="18"/>
      <c r="I24" s="18"/>
      <c r="J24" s="18"/>
      <c r="K24" s="18"/>
      <c r="L24" s="18"/>
      <c r="M24" s="61"/>
      <c r="N24" s="59"/>
      <c r="O24" s="59"/>
      <c r="P24" s="62"/>
    </row>
    <row r="25" spans="2:16" ht="15.75" customHeight="1">
      <c r="B25" s="63"/>
      <c r="C25" s="60"/>
      <c r="D25" s="61"/>
      <c r="E25" s="61"/>
      <c r="F25" s="61"/>
      <c r="G25" s="18"/>
      <c r="H25" s="18"/>
      <c r="I25" s="18"/>
      <c r="J25" s="18"/>
      <c r="K25" s="18"/>
      <c r="L25" s="18"/>
      <c r="M25" s="61"/>
      <c r="N25" s="59"/>
      <c r="O25" s="59"/>
      <c r="P25" s="62"/>
    </row>
    <row r="26" spans="2:16" ht="15.75" customHeight="1" thickBot="1">
      <c r="B26" s="23"/>
      <c r="C26" s="64"/>
      <c r="D26" s="24"/>
      <c r="E26" s="24"/>
      <c r="F26" s="24"/>
      <c r="G26" s="24"/>
      <c r="H26" s="24"/>
      <c r="I26" s="24"/>
      <c r="J26" s="24"/>
      <c r="K26" s="24"/>
      <c r="L26" s="24"/>
      <c r="M26" s="24"/>
      <c r="N26" s="65"/>
      <c r="O26" s="65"/>
      <c r="P26" s="25"/>
    </row>
  </sheetData>
  <mergeCells count="8">
    <mergeCell ref="G8:H8"/>
    <mergeCell ref="G4:H4"/>
    <mergeCell ref="B2:P2"/>
    <mergeCell ref="B5:B7"/>
    <mergeCell ref="C5:C7"/>
    <mergeCell ref="G5:H5"/>
    <mergeCell ref="G6:H6"/>
    <mergeCell ref="G7:H7"/>
  </mergeCell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B8CCE53C-FDCF-4CA1-B6CD-7F46F5D5FFC7}">
          <x14:formula1>
            <xm:f>'Data Range'!$B$7:$B$9</xm:f>
          </x14:formula1>
          <xm:sqref>K5:K26</xm:sqref>
        </x14:dataValidation>
        <x14:dataValidation type="list" allowBlank="1" showInputMessage="1" showErrorMessage="1" xr:uid="{6E582DB1-BBDD-4E85-B996-8A3AAACF8690}">
          <x14:formula1>
            <xm:f>'Data Range'!$B$12:$B$15</xm:f>
          </x14:formula1>
          <xm:sqref>L5:L26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6258-B316-4E48-9A1E-73245184F575}">
  <dimension ref="B1:J15"/>
  <sheetViews>
    <sheetView tabSelected="1" workbookViewId="0">
      <selection activeCell="H16" sqref="H16"/>
    </sheetView>
  </sheetViews>
  <sheetFormatPr defaultRowHeight="15"/>
  <cols>
    <col min="1" max="1" width="9.140625" style="13"/>
    <col min="2" max="2" width="15.5703125" style="13" bestFit="1" customWidth="1"/>
    <col min="3" max="6" width="9.140625" style="13"/>
    <col min="7" max="7" width="20.42578125" style="13" bestFit="1" customWidth="1"/>
    <col min="8" max="16384" width="9.140625" style="13"/>
  </cols>
  <sheetData>
    <row r="1" spans="2:10">
      <c r="B1" s="16" t="s">
        <v>101</v>
      </c>
      <c r="D1" s="125" t="s">
        <v>102</v>
      </c>
      <c r="E1" s="125"/>
    </row>
    <row r="2" spans="2:10">
      <c r="B2" s="13" t="s">
        <v>103</v>
      </c>
      <c r="D2" s="66" t="s">
        <v>34</v>
      </c>
      <c r="E2" s="66">
        <v>52</v>
      </c>
      <c r="G2" s="13" t="s">
        <v>44</v>
      </c>
      <c r="H2" s="13" t="s">
        <v>40</v>
      </c>
      <c r="I2" s="13" t="s">
        <v>41</v>
      </c>
      <c r="J2" s="13" t="s">
        <v>42</v>
      </c>
    </row>
    <row r="3" spans="2:10">
      <c r="B3" s="13" t="s">
        <v>104</v>
      </c>
      <c r="D3" s="66" t="s">
        <v>35</v>
      </c>
      <c r="E3" s="66">
        <v>0</v>
      </c>
      <c r="G3" s="69" t="s">
        <v>56</v>
      </c>
      <c r="H3" s="13">
        <v>0</v>
      </c>
      <c r="I3" s="13">
        <v>2</v>
      </c>
      <c r="J3" s="13">
        <v>1</v>
      </c>
    </row>
    <row r="4" spans="2:10" ht="24">
      <c r="B4" s="13" t="s">
        <v>105</v>
      </c>
      <c r="D4" s="66" t="s">
        <v>37</v>
      </c>
      <c r="E4" s="66">
        <v>0</v>
      </c>
      <c r="G4" s="69" t="s">
        <v>57</v>
      </c>
      <c r="H4" s="13">
        <v>0</v>
      </c>
      <c r="I4" s="13">
        <v>1</v>
      </c>
      <c r="J4" s="13">
        <v>0</v>
      </c>
    </row>
    <row r="5" spans="2:10">
      <c r="D5" s="67" t="s">
        <v>38</v>
      </c>
      <c r="E5" s="67">
        <v>0</v>
      </c>
      <c r="G5" s="69" t="s">
        <v>58</v>
      </c>
      <c r="H5" s="13">
        <v>0</v>
      </c>
      <c r="I5" s="13">
        <v>0</v>
      </c>
      <c r="J5" s="13">
        <v>0</v>
      </c>
    </row>
    <row r="6" spans="2:10" ht="24">
      <c r="B6" s="16" t="s">
        <v>45</v>
      </c>
      <c r="G6" s="69" t="s">
        <v>60</v>
      </c>
      <c r="H6" s="13">
        <v>0</v>
      </c>
      <c r="I6" s="13">
        <v>0</v>
      </c>
      <c r="J6" s="13">
        <v>0</v>
      </c>
    </row>
    <row r="7" spans="2:10" ht="24">
      <c r="B7" s="13" t="s">
        <v>41</v>
      </c>
      <c r="G7" s="69" t="s">
        <v>61</v>
      </c>
      <c r="H7" s="13">
        <v>0</v>
      </c>
      <c r="I7" s="13">
        <v>0</v>
      </c>
      <c r="J7" s="13">
        <v>0</v>
      </c>
    </row>
    <row r="8" spans="2:10" ht="28.5">
      <c r="B8" s="13" t="s">
        <v>42</v>
      </c>
      <c r="G8" s="70" t="s">
        <v>62</v>
      </c>
      <c r="H8" s="13">
        <v>0</v>
      </c>
      <c r="I8" s="13">
        <v>0</v>
      </c>
      <c r="J8" s="13">
        <v>0</v>
      </c>
    </row>
    <row r="9" spans="2:10" ht="28.5">
      <c r="B9" s="13" t="s">
        <v>59</v>
      </c>
      <c r="G9" s="70" t="s">
        <v>63</v>
      </c>
      <c r="H9" s="13">
        <v>0</v>
      </c>
      <c r="I9" s="13">
        <v>0</v>
      </c>
      <c r="J9" s="13">
        <v>0</v>
      </c>
    </row>
    <row r="10" spans="2:10" ht="28.5">
      <c r="G10" s="70" t="s">
        <v>64</v>
      </c>
      <c r="H10" s="13">
        <v>0</v>
      </c>
      <c r="I10" s="13">
        <v>0</v>
      </c>
      <c r="J10" s="13">
        <v>0</v>
      </c>
    </row>
    <row r="11" spans="2:10" ht="28.5">
      <c r="B11" s="16" t="s">
        <v>75</v>
      </c>
      <c r="G11" s="70" t="s">
        <v>65</v>
      </c>
      <c r="H11" s="13">
        <v>0</v>
      </c>
      <c r="I11" s="13">
        <v>0</v>
      </c>
      <c r="J11" s="13">
        <v>0</v>
      </c>
    </row>
    <row r="12" spans="2:10" ht="28.5">
      <c r="B12" s="13" t="s">
        <v>40</v>
      </c>
      <c r="G12" s="70" t="s">
        <v>66</v>
      </c>
      <c r="H12" s="13">
        <v>0</v>
      </c>
      <c r="I12" s="13">
        <v>0</v>
      </c>
      <c r="J12" s="13">
        <v>0</v>
      </c>
    </row>
    <row r="13" spans="2:10">
      <c r="B13" s="13" t="s">
        <v>41</v>
      </c>
    </row>
    <row r="14" spans="2:10">
      <c r="B14" s="13" t="s">
        <v>42</v>
      </c>
    </row>
    <row r="15" spans="2:10">
      <c r="B15" s="13" t="s">
        <v>59</v>
      </c>
    </row>
  </sheetData>
  <mergeCells count="1">
    <mergeCell ref="D1:E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SharedWithUsers xmlns="a7bdd818-b094-4418-afd2-931e5cfd1928">
      <UserInfo>
        <DisplayName>2174802010080 - Trần Quốc Khang - 71K27CNTT03</DisplayName>
        <AccountId>23</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03F369C-3EEB-4EA2-A321-56BC723115A2}"/>
</file>

<file path=customXml/itemProps2.xml><?xml version="1.0" encoding="utf-8"?>
<ds:datastoreItem xmlns:ds="http://schemas.openxmlformats.org/officeDocument/2006/customXml" ds:itemID="{59366CA8-8777-4242-A0C1-5BCCF775DC43}"/>
</file>

<file path=customXml/itemProps3.xml><?xml version="1.0" encoding="utf-8"?>
<ds:datastoreItem xmlns:ds="http://schemas.openxmlformats.org/officeDocument/2006/customXml" ds:itemID="{C8D857BB-F535-47DA-ADC0-5CCA1C9C23B4}"/>
</file>

<file path=customXml/itemProps4.xml><?xml version="1.0" encoding="utf-8"?>
<ds:datastoreItem xmlns:ds="http://schemas.openxmlformats.org/officeDocument/2006/customXml" ds:itemID="{702FB7E3-ADD2-44C2-94CD-171E298690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2174802010005 - Đoàn Minh Khang - 71K27CNTT01</cp:lastModifiedBy>
  <cp:revision/>
  <dcterms:created xsi:type="dcterms:W3CDTF">2015-06-05T18:17:20Z</dcterms:created>
  <dcterms:modified xsi:type="dcterms:W3CDTF">2023-07-27T08:05:37Z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MediaServiceImageTags">
    <vt:lpwstr/>
  </property>
</Properties>
</file>